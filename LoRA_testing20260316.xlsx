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9f8ba6e0c57d056/桌面/vacuna/"/>
    </mc:Choice>
  </mc:AlternateContent>
  <xr:revisionPtr revIDLastSave="0" documentId="11_E7DAD0B75B69100CF30D3E31A55B14B984EABC42" xr6:coauthVersionLast="47" xr6:coauthVersionMax="47" xr10:uidLastSave="{00000000-0000-0000-0000-000000000000}"/>
  <bookViews>
    <workbookView minimized="1" xWindow="15045" yWindow="2475" windowWidth="10890" windowHeight="9540" xr2:uid="{00000000-000D-0000-FFFF-FFFF00000000}"/>
  </bookViews>
  <sheets>
    <sheet name="97問卷and真實_202201to202206_202405" sheetId="1" r:id="rId1"/>
  </sheets>
  <definedNames>
    <definedName name="_xlnm._FilterDatabase" localSheetId="0" hidden="1">'97問卷and真實_202201to202206_202405'!$A$1:$J$98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77" i="1"/>
  <c r="F3" i="1"/>
  <c r="F4" i="1"/>
  <c r="F5" i="1"/>
  <c r="F36" i="1"/>
  <c r="F6" i="1"/>
  <c r="F37" i="1"/>
  <c r="F57" i="1"/>
  <c r="F58" i="1"/>
  <c r="F59" i="1"/>
  <c r="F38" i="1"/>
  <c r="F39" i="1"/>
  <c r="F7" i="1"/>
  <c r="F8" i="1"/>
  <c r="F40" i="1"/>
  <c r="F60" i="1"/>
  <c r="F41" i="1"/>
  <c r="F93" i="1"/>
  <c r="F9" i="1"/>
  <c r="F10" i="1"/>
  <c r="F42" i="1"/>
  <c r="F11" i="1"/>
  <c r="F43" i="1"/>
  <c r="F61" i="1"/>
  <c r="F12" i="1"/>
  <c r="F78" i="1"/>
  <c r="F62" i="1"/>
  <c r="F13" i="1"/>
  <c r="F79" i="1"/>
  <c r="F63" i="1"/>
  <c r="F14" i="1"/>
  <c r="F64" i="1"/>
  <c r="F65" i="1"/>
  <c r="F66" i="1"/>
  <c r="F15" i="1"/>
  <c r="F16" i="1"/>
  <c r="F94" i="1"/>
  <c r="F17" i="1"/>
  <c r="F44" i="1"/>
  <c r="F67" i="1"/>
  <c r="F18" i="1"/>
  <c r="F45" i="1"/>
  <c r="F19" i="1"/>
  <c r="F20" i="1"/>
  <c r="F21" i="1"/>
  <c r="F80" i="1"/>
  <c r="F81" i="1"/>
  <c r="F68" i="1"/>
  <c r="F82" i="1"/>
  <c r="F83" i="1"/>
  <c r="F69" i="1"/>
  <c r="F84" i="1"/>
  <c r="F22" i="1"/>
  <c r="F85" i="1"/>
  <c r="F86" i="1"/>
  <c r="F70" i="1"/>
  <c r="F87" i="1"/>
  <c r="F46" i="1"/>
  <c r="F88" i="1"/>
  <c r="F23" i="1"/>
  <c r="F24" i="1"/>
  <c r="F95" i="1"/>
  <c r="F96" i="1"/>
  <c r="F71" i="1"/>
  <c r="F72" i="1"/>
  <c r="F89" i="1"/>
  <c r="F47" i="1"/>
  <c r="F48" i="1"/>
  <c r="F25" i="1"/>
  <c r="F49" i="1"/>
  <c r="F50" i="1"/>
  <c r="F90" i="1"/>
  <c r="F26" i="1"/>
  <c r="F51" i="1"/>
  <c r="F27" i="1"/>
  <c r="F91" i="1"/>
  <c r="F28" i="1"/>
  <c r="F29" i="1"/>
  <c r="F52" i="1"/>
  <c r="F97" i="1"/>
  <c r="F53" i="1"/>
  <c r="F73" i="1"/>
  <c r="F30" i="1"/>
  <c r="F31" i="1"/>
  <c r="F32" i="1"/>
  <c r="F33" i="1"/>
  <c r="F54" i="1"/>
  <c r="F55" i="1"/>
  <c r="F34" i="1"/>
  <c r="F74" i="1"/>
  <c r="F92" i="1"/>
  <c r="F98" i="1"/>
  <c r="F35" i="1"/>
  <c r="F56" i="1"/>
  <c r="F75" i="1"/>
  <c r="F76" i="1"/>
  <c r="H88" i="1" l="1"/>
  <c r="G88" i="1"/>
  <c r="H43" i="1"/>
  <c r="G43" i="1"/>
  <c r="H73" i="1"/>
  <c r="G73" i="1"/>
  <c r="H46" i="1"/>
  <c r="G46" i="1"/>
  <c r="H25" i="1"/>
  <c r="G25" i="1"/>
  <c r="H98" i="1"/>
  <c r="G98" i="1"/>
  <c r="H30" i="1"/>
  <c r="G30" i="1"/>
  <c r="H38" i="1"/>
  <c r="G38" i="1"/>
  <c r="H80" i="1"/>
  <c r="G80" i="1"/>
  <c r="H35" i="1"/>
  <c r="G35" i="1"/>
  <c r="H19" i="1"/>
  <c r="G19" i="1"/>
  <c r="H75" i="1"/>
  <c r="G75" i="1"/>
  <c r="H81" i="1"/>
  <c r="G81" i="1"/>
  <c r="H11" i="1"/>
  <c r="G11" i="1"/>
  <c r="H87" i="1"/>
  <c r="G87" i="1"/>
  <c r="H58" i="1"/>
  <c r="G58" i="1"/>
  <c r="H70" i="1"/>
  <c r="G70" i="1"/>
  <c r="H57" i="1"/>
  <c r="G57" i="1"/>
  <c r="H86" i="1"/>
  <c r="G86" i="1"/>
  <c r="H9" i="1"/>
  <c r="G9" i="1"/>
  <c r="H45" i="1"/>
  <c r="G45" i="1"/>
  <c r="H6" i="1"/>
  <c r="G6" i="1"/>
  <c r="H72" i="1"/>
  <c r="G72" i="1"/>
  <c r="H60" i="1"/>
  <c r="G60" i="1"/>
  <c r="H50" i="1"/>
  <c r="G50" i="1"/>
  <c r="H56" i="1"/>
  <c r="G56" i="1"/>
  <c r="H59" i="1"/>
  <c r="G59" i="1"/>
  <c r="H21" i="1"/>
  <c r="G21" i="1"/>
  <c r="H42" i="1"/>
  <c r="G42" i="1"/>
  <c r="H48" i="1"/>
  <c r="G48" i="1"/>
  <c r="H20" i="1"/>
  <c r="G20" i="1"/>
  <c r="H10" i="1"/>
  <c r="G10" i="1"/>
  <c r="H92" i="1"/>
  <c r="G92" i="1"/>
  <c r="H47" i="1"/>
  <c r="G47" i="1"/>
  <c r="H14" i="1"/>
  <c r="G14" i="1"/>
  <c r="H74" i="1"/>
  <c r="G74" i="1"/>
  <c r="H85" i="1"/>
  <c r="G85" i="1"/>
  <c r="H93" i="1"/>
  <c r="G93" i="1"/>
  <c r="H34" i="1"/>
  <c r="G34" i="1"/>
  <c r="H22" i="1"/>
  <c r="G22" i="1"/>
  <c r="H27" i="1"/>
  <c r="G27" i="1"/>
  <c r="H49" i="1"/>
  <c r="G49" i="1"/>
  <c r="H15" i="1"/>
  <c r="G15" i="1"/>
  <c r="H66" i="1"/>
  <c r="G66" i="1"/>
  <c r="H53" i="1"/>
  <c r="G53" i="1"/>
  <c r="H65" i="1"/>
  <c r="G65" i="1"/>
  <c r="H97" i="1"/>
  <c r="G97" i="1"/>
  <c r="H64" i="1"/>
  <c r="G64" i="1"/>
  <c r="H52" i="1"/>
  <c r="G52" i="1"/>
  <c r="H37" i="1"/>
  <c r="G37" i="1"/>
  <c r="H29" i="1"/>
  <c r="G29" i="1"/>
  <c r="H89" i="1"/>
  <c r="G89" i="1"/>
  <c r="H63" i="1"/>
  <c r="G63" i="1"/>
  <c r="H28" i="1"/>
  <c r="G28" i="1"/>
  <c r="H18" i="1"/>
  <c r="G18" i="1"/>
  <c r="H79" i="1"/>
  <c r="G79" i="1"/>
  <c r="H41" i="1"/>
  <c r="G41" i="1"/>
  <c r="H36" i="1"/>
  <c r="G36" i="1"/>
  <c r="H55" i="1"/>
  <c r="G55" i="1"/>
  <c r="H91" i="1"/>
  <c r="G91" i="1"/>
  <c r="H71" i="1"/>
  <c r="G71" i="1"/>
  <c r="H84" i="1"/>
  <c r="G84" i="1"/>
  <c r="H67" i="1"/>
  <c r="G67" i="1"/>
  <c r="H13" i="1"/>
  <c r="G13" i="1"/>
  <c r="H5" i="1"/>
  <c r="G5" i="1"/>
  <c r="H54" i="1"/>
  <c r="G54" i="1"/>
  <c r="H96" i="1"/>
  <c r="G96" i="1"/>
  <c r="H69" i="1"/>
  <c r="G69" i="1"/>
  <c r="H44" i="1"/>
  <c r="G44" i="1"/>
  <c r="H62" i="1"/>
  <c r="G62" i="1"/>
  <c r="H40" i="1"/>
  <c r="G40" i="1"/>
  <c r="H4" i="1"/>
  <c r="G4" i="1"/>
  <c r="H33" i="1"/>
  <c r="G33" i="1"/>
  <c r="H51" i="1"/>
  <c r="G51" i="1"/>
  <c r="H95" i="1"/>
  <c r="G95" i="1"/>
  <c r="H83" i="1"/>
  <c r="G83" i="1"/>
  <c r="H17" i="1"/>
  <c r="G17" i="1"/>
  <c r="H78" i="1"/>
  <c r="G78" i="1"/>
  <c r="H8" i="1"/>
  <c r="G8" i="1"/>
  <c r="H3" i="1"/>
  <c r="G3" i="1"/>
  <c r="H32" i="1"/>
  <c r="G32" i="1"/>
  <c r="H26" i="1"/>
  <c r="G26" i="1"/>
  <c r="H24" i="1"/>
  <c r="G24" i="1"/>
  <c r="H82" i="1"/>
  <c r="G82" i="1"/>
  <c r="H94" i="1"/>
  <c r="G94" i="1"/>
  <c r="H12" i="1"/>
  <c r="G12" i="1"/>
  <c r="H7" i="1"/>
  <c r="G7" i="1"/>
  <c r="H77" i="1"/>
  <c r="G77" i="1"/>
  <c r="H76" i="1"/>
  <c r="G76" i="1"/>
  <c r="H31" i="1"/>
  <c r="G31" i="1"/>
  <c r="H90" i="1"/>
  <c r="G90" i="1"/>
  <c r="H23" i="1"/>
  <c r="G23" i="1"/>
  <c r="H68" i="1"/>
  <c r="G68" i="1"/>
  <c r="H16" i="1"/>
  <c r="G16" i="1"/>
  <c r="H61" i="1"/>
  <c r="G61" i="1"/>
  <c r="H39" i="1"/>
  <c r="G39" i="1"/>
  <c r="H2" i="1"/>
  <c r="G2" i="1"/>
</calcChain>
</file>

<file path=xl/sharedStrings.xml><?xml version="1.0" encoding="utf-8"?>
<sst xmlns="http://schemas.openxmlformats.org/spreadsheetml/2006/main" count="107" uniqueCount="107">
  <si>
    <t>Name</t>
  </si>
  <si>
    <t xml:space="preserve">方世昌       </t>
  </si>
  <si>
    <t xml:space="preserve">方雪櫻       </t>
    <phoneticPr fontId="2" type="noConversion"/>
  </si>
  <si>
    <t xml:space="preserve">朱芳綾       </t>
    <phoneticPr fontId="2" type="noConversion"/>
  </si>
  <si>
    <t xml:space="preserve">何廷尹       </t>
    <phoneticPr fontId="2" type="noConversion"/>
  </si>
  <si>
    <t xml:space="preserve">安雅玫       </t>
    <phoneticPr fontId="2" type="noConversion"/>
  </si>
  <si>
    <t xml:space="preserve">吳珊如       </t>
  </si>
  <si>
    <t xml:space="preserve">朱錦美       </t>
  </si>
  <si>
    <t xml:space="preserve">呂朝源       </t>
    <phoneticPr fontId="2" type="noConversion"/>
  </si>
  <si>
    <t xml:space="preserve">林良春       </t>
    <phoneticPr fontId="2" type="noConversion"/>
  </si>
  <si>
    <t xml:space="preserve">吳美娟       </t>
    <phoneticPr fontId="2" type="noConversion"/>
  </si>
  <si>
    <t xml:space="preserve">吳裕隆       </t>
    <phoneticPr fontId="2" type="noConversion"/>
  </si>
  <si>
    <t xml:space="preserve">呂史提       </t>
    <phoneticPr fontId="2" type="noConversion"/>
  </si>
  <si>
    <t xml:space="preserve">邱奕智       </t>
    <phoneticPr fontId="2" type="noConversion"/>
  </si>
  <si>
    <t xml:space="preserve">邱詩婷       </t>
    <phoneticPr fontId="2" type="noConversion"/>
  </si>
  <si>
    <t xml:space="preserve">李小鳳       </t>
  </si>
  <si>
    <t xml:space="preserve">張明朝       </t>
    <phoneticPr fontId="2" type="noConversion"/>
  </si>
  <si>
    <t xml:space="preserve">李素霞       </t>
    <phoneticPr fontId="2" type="noConversion"/>
  </si>
  <si>
    <t xml:space="preserve">李國輝       </t>
    <phoneticPr fontId="2" type="noConversion"/>
  </si>
  <si>
    <t xml:space="preserve">李進生       </t>
  </si>
  <si>
    <t xml:space="preserve">李蔡秀菊      </t>
    <phoneticPr fontId="2" type="noConversion"/>
  </si>
  <si>
    <t xml:space="preserve">李瓊珠       </t>
  </si>
  <si>
    <t xml:space="preserve">林玉惠       </t>
    <phoneticPr fontId="2" type="noConversion"/>
  </si>
  <si>
    <t xml:space="preserve">林亨岳       </t>
  </si>
  <si>
    <t xml:space="preserve">張鴻洲       </t>
    <phoneticPr fontId="2" type="noConversion"/>
  </si>
  <si>
    <t xml:space="preserve">陳世明       </t>
    <phoneticPr fontId="2" type="noConversion"/>
  </si>
  <si>
    <t xml:space="preserve">陳昱詮       </t>
    <phoneticPr fontId="2" type="noConversion"/>
  </si>
  <si>
    <t xml:space="preserve">陳秋娥       </t>
    <phoneticPr fontId="2" type="noConversion"/>
  </si>
  <si>
    <t xml:space="preserve">邱靜燕       </t>
  </si>
  <si>
    <t xml:space="preserve">陳娟娟       </t>
    <phoneticPr fontId="2" type="noConversion"/>
  </si>
  <si>
    <t xml:space="preserve">侯瑞陶小姐     </t>
  </si>
  <si>
    <t xml:space="preserve">陳資雅       </t>
    <phoneticPr fontId="2" type="noConversion"/>
  </si>
  <si>
    <t xml:space="preserve">張泓涼       </t>
  </si>
  <si>
    <t xml:space="preserve">張美滿       </t>
  </si>
  <si>
    <t xml:space="preserve">張勝彥       </t>
  </si>
  <si>
    <t xml:space="preserve">彭月春       </t>
    <phoneticPr fontId="2" type="noConversion"/>
  </si>
  <si>
    <t xml:space="preserve">陳文山       </t>
  </si>
  <si>
    <t xml:space="preserve">楊美槿       </t>
    <phoneticPr fontId="2" type="noConversion"/>
  </si>
  <si>
    <t xml:space="preserve">陳秀麗       </t>
  </si>
  <si>
    <t xml:space="preserve">羅嫄侖       </t>
    <phoneticPr fontId="3" type="noConversion"/>
  </si>
  <si>
    <t xml:space="preserve">陳俊鴻       </t>
  </si>
  <si>
    <t xml:space="preserve">陳順來       </t>
    <phoneticPr fontId="2" type="noConversion"/>
  </si>
  <si>
    <t xml:space="preserve">陳碧珠       </t>
  </si>
  <si>
    <t xml:space="preserve">黃南衛       </t>
    <phoneticPr fontId="3" type="noConversion"/>
  </si>
  <si>
    <t xml:space="preserve">黃建霖       </t>
  </si>
  <si>
    <t xml:space="preserve">黃建瀛       </t>
  </si>
  <si>
    <t xml:space="preserve">黃春生       </t>
  </si>
  <si>
    <t xml:space="preserve">黃秋玉       </t>
  </si>
  <si>
    <t xml:space="preserve">黃苞        </t>
    <phoneticPr fontId="2" type="noConversion"/>
  </si>
  <si>
    <t xml:space="preserve">黃清加       </t>
    <phoneticPr fontId="3" type="noConversion"/>
  </si>
  <si>
    <t xml:space="preserve">黃森貴       </t>
  </si>
  <si>
    <t xml:space="preserve">黃焜楠       </t>
  </si>
  <si>
    <t xml:space="preserve">黃德村       </t>
  </si>
  <si>
    <t xml:space="preserve">劉文芳       </t>
    <phoneticPr fontId="3" type="noConversion"/>
  </si>
  <si>
    <t xml:space="preserve">蔡清泉       </t>
  </si>
  <si>
    <t xml:space="preserve">鄭漢濱       </t>
  </si>
  <si>
    <t xml:space="preserve">鄭艷凰       </t>
  </si>
  <si>
    <t xml:space="preserve">賴彩鳳       </t>
  </si>
  <si>
    <t xml:space="preserve">戴惠君       </t>
    <phoneticPr fontId="2" type="noConversion"/>
  </si>
  <si>
    <t xml:space="preserve">謝明和       </t>
    <phoneticPr fontId="2" type="noConversion"/>
  </si>
  <si>
    <t xml:space="preserve">羅秀梅       </t>
  </si>
  <si>
    <t xml:space="preserve">蘇宏進       </t>
    <phoneticPr fontId="2" type="noConversion"/>
  </si>
  <si>
    <t xml:space="preserve">吳建鴻       </t>
  </si>
  <si>
    <t xml:space="preserve">呂福興       </t>
    <phoneticPr fontId="2" type="noConversion"/>
  </si>
  <si>
    <t xml:space="preserve">王正堯       </t>
    <phoneticPr fontId="2" type="noConversion"/>
  </si>
  <si>
    <t xml:space="preserve">陳秀蘭       </t>
    <phoneticPr fontId="2" type="noConversion"/>
  </si>
  <si>
    <t xml:space="preserve">楊文仁       </t>
  </si>
  <si>
    <t xml:space="preserve">魏廷憲       </t>
  </si>
  <si>
    <t xml:space="preserve">李施彩壁      </t>
    <phoneticPr fontId="3" type="noConversion"/>
  </si>
  <si>
    <t xml:space="preserve">林玉雲       </t>
  </si>
  <si>
    <t xml:space="preserve">陳林麗玉      </t>
    <phoneticPr fontId="3" type="noConversion"/>
  </si>
  <si>
    <t xml:space="preserve">呂建寧       </t>
    <phoneticPr fontId="2" type="noConversion"/>
  </si>
  <si>
    <t xml:space="preserve">黃美換       </t>
  </si>
  <si>
    <t xml:space="preserve">陳進郎       </t>
  </si>
  <si>
    <t xml:space="preserve">陳月美       </t>
    <phoneticPr fontId="2" type="noConversion"/>
  </si>
  <si>
    <t xml:space="preserve">王忠禮       </t>
  </si>
  <si>
    <t xml:space="preserve">黃靖峰       </t>
  </si>
  <si>
    <t xml:space="preserve">江琇枝       </t>
    <phoneticPr fontId="3" type="noConversion"/>
  </si>
  <si>
    <t xml:space="preserve">徐江淮       </t>
  </si>
  <si>
    <t xml:space="preserve">張漢鏸       </t>
    <phoneticPr fontId="3" type="noConversion"/>
  </si>
  <si>
    <t xml:space="preserve">張維軒       </t>
    <phoneticPr fontId="2" type="noConversion"/>
  </si>
  <si>
    <t xml:space="preserve">陳奕擴       </t>
  </si>
  <si>
    <t xml:space="preserve">邱玉琴       </t>
  </si>
  <si>
    <t xml:space="preserve">金丸喜好      </t>
    <phoneticPr fontId="2" type="noConversion"/>
  </si>
  <si>
    <t xml:space="preserve">陳貴璘       </t>
  </si>
  <si>
    <t xml:space="preserve">陳世南       </t>
    <phoneticPr fontId="3" type="noConversion"/>
  </si>
  <si>
    <t xml:space="preserve">李俊德       </t>
  </si>
  <si>
    <t xml:space="preserve">黃林素娥      </t>
    <phoneticPr fontId="2" type="noConversion"/>
  </si>
  <si>
    <t xml:space="preserve">羅麗觀       </t>
    <phoneticPr fontId="3" type="noConversion"/>
  </si>
  <si>
    <t xml:space="preserve">羅淑蓮       </t>
  </si>
  <si>
    <t>B</t>
    <phoneticPr fontId="2" type="noConversion"/>
  </si>
  <si>
    <t>C</t>
    <phoneticPr fontId="2" type="noConversion"/>
  </si>
  <si>
    <t>I_reverse</t>
    <phoneticPr fontId="2" type="noConversion"/>
  </si>
  <si>
    <t xml:space="preserve">簡裕峰       </t>
    <phoneticPr fontId="2" type="noConversion"/>
  </si>
  <si>
    <t xml:space="preserve">吳明娟       </t>
    <phoneticPr fontId="2" type="noConversion"/>
  </si>
  <si>
    <t xml:space="preserve">黃月秀       </t>
    <phoneticPr fontId="2" type="noConversion"/>
  </si>
  <si>
    <t xml:space="preserve">鍾台英       </t>
    <phoneticPr fontId="2" type="noConversion"/>
  </si>
  <si>
    <t xml:space="preserve">陳彩華       </t>
    <phoneticPr fontId="2" type="noConversion"/>
  </si>
  <si>
    <t xml:space="preserve">蘇晴貴       </t>
    <phoneticPr fontId="2" type="noConversion"/>
  </si>
  <si>
    <t xml:space="preserve">黃宗寶       </t>
    <phoneticPr fontId="2" type="noConversion"/>
  </si>
  <si>
    <t xml:space="preserve">張東陽       </t>
    <phoneticPr fontId="2" type="noConversion"/>
  </si>
  <si>
    <t>202207~12B</t>
    <phoneticPr fontId="2" type="noConversion"/>
  </si>
  <si>
    <t>202207~12I</t>
    <phoneticPr fontId="2" type="noConversion"/>
  </si>
  <si>
    <t>202207~12I_reverse</t>
    <phoneticPr fontId="2" type="noConversion"/>
  </si>
  <si>
    <t>trust</t>
    <phoneticPr fontId="2" type="noConversion"/>
  </si>
  <si>
    <t>202301~06pur</t>
    <phoneticPr fontId="2" type="noConversion"/>
  </si>
  <si>
    <t>再購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</si>
</sst>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b/>
      <sz val="11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1"/>
      <color theme="3"/>
      <name val="新細明體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0" fillId="2" borderId="0" xfId="0" applyFill="1" applyAlignment="1"/>
    <xf numFmtId="0" fontId="0" fillId="2" borderId="0" xfId="0" applyFill="1">
      <alignment vertical="center"/>
    </xf>
    <xf numFmtId="0" fontId="4" fillId="0" borderId="0" xfId="0" applyFont="1" applyAlignment="1"/>
    <xf numFmtId="0" fontId="4" fillId="2" borderId="0" xfId="0" applyFont="1" applyFill="1" applyAlignment="1"/>
    <xf numFmtId="0" fontId="1" fillId="0" borderId="2" xfId="0" applyFont="1" applyBorder="1" applyAlignment="1">
      <alignment horizontal="center" vertical="top"/>
    </xf>
    <xf numFmtId="0" fontId="0" fillId="3" borderId="0" xfId="0" applyFill="1" applyAlignment="1"/>
    <xf numFmtId="0" fontId="1" fillId="0" borderId="0" xfId="0" applyFont="1" applyAlignment="1">
      <alignment horizontal="center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tabSelected="1" workbookViewId="0">
      <pane xSplit="1" topLeftCell="B1" activePane="topRight" state="frozen"/>
      <selection pane="topRight" activeCell="H1" sqref="H1"/>
    </sheetView>
  </sheetViews>
  <sheetFormatPr defaultRowHeight="16.5" x14ac:dyDescent="0.25"/>
  <cols>
    <col min="3" max="4" width="13.875" bestFit="1" customWidth="1"/>
    <col min="5" max="8" width="19.375" customWidth="1"/>
  </cols>
  <sheetData>
    <row r="1" spans="1:10" x14ac:dyDescent="0.25">
      <c r="A1" s="1" t="s">
        <v>0</v>
      </c>
      <c r="B1" s="1" t="s">
        <v>91</v>
      </c>
      <c r="C1" t="s">
        <v>101</v>
      </c>
      <c r="D1" t="s">
        <v>90</v>
      </c>
      <c r="E1" s="7" t="s">
        <v>102</v>
      </c>
      <c r="F1" s="7" t="s">
        <v>103</v>
      </c>
      <c r="G1" s="7" t="s">
        <v>92</v>
      </c>
      <c r="H1" s="9" t="s">
        <v>104</v>
      </c>
      <c r="I1" t="s">
        <v>105</v>
      </c>
      <c r="J1" t="s">
        <v>106</v>
      </c>
    </row>
    <row r="2" spans="1:10" x14ac:dyDescent="0.25">
      <c r="A2" s="2" t="s">
        <v>2</v>
      </c>
      <c r="B2" s="2">
        <v>15</v>
      </c>
      <c r="C2">
        <v>2</v>
      </c>
      <c r="D2">
        <v>2</v>
      </c>
      <c r="E2" s="2">
        <v>1.4999999999999999E-2</v>
      </c>
      <c r="F2" s="2">
        <f t="shared" ref="F2:G33" si="0">0.018-E2</f>
        <v>2.9999999999999992E-3</v>
      </c>
      <c r="G2" s="2">
        <f t="shared" si="0"/>
        <v>1.4999999999999999E-2</v>
      </c>
      <c r="H2" s="2">
        <f>C2*0.149+F2*-0.544+B2*0.547</f>
        <v>8.5013679999999994</v>
      </c>
      <c r="I2">
        <v>0</v>
      </c>
      <c r="J2">
        <v>0</v>
      </c>
    </row>
    <row r="3" spans="1:10" x14ac:dyDescent="0.25">
      <c r="A3" s="2" t="s">
        <v>75</v>
      </c>
      <c r="B3" s="2">
        <v>15</v>
      </c>
      <c r="C3">
        <v>6</v>
      </c>
      <c r="D3">
        <v>6</v>
      </c>
      <c r="E3" s="2">
        <v>1.4999999999999999E-2</v>
      </c>
      <c r="F3" s="2">
        <f t="shared" si="0"/>
        <v>2.9999999999999992E-3</v>
      </c>
      <c r="G3" s="2">
        <f t="shared" si="0"/>
        <v>1.4999999999999999E-2</v>
      </c>
      <c r="H3" s="2">
        <f t="shared" ref="H3:H66" si="1">C3*0.149+F3*-0.544+B3*0.547</f>
        <v>9.0973679999999995</v>
      </c>
      <c r="I3">
        <v>0</v>
      </c>
      <c r="J3">
        <v>0</v>
      </c>
    </row>
    <row r="4" spans="1:10" x14ac:dyDescent="0.25">
      <c r="A4" s="2" t="s">
        <v>5</v>
      </c>
      <c r="B4" s="2">
        <v>15</v>
      </c>
      <c r="C4">
        <v>1</v>
      </c>
      <c r="D4">
        <v>1</v>
      </c>
      <c r="E4" s="2">
        <v>1.7999999999999999E-2</v>
      </c>
      <c r="F4" s="2">
        <f t="shared" si="0"/>
        <v>0</v>
      </c>
      <c r="G4" s="2">
        <f t="shared" si="0"/>
        <v>1.7999999999999999E-2</v>
      </c>
      <c r="H4" s="2">
        <f t="shared" si="1"/>
        <v>8.3539999999999992</v>
      </c>
      <c r="I4">
        <v>1</v>
      </c>
      <c r="J4">
        <v>1</v>
      </c>
    </row>
    <row r="5" spans="1:10" x14ac:dyDescent="0.25">
      <c r="A5" s="2" t="s">
        <v>3</v>
      </c>
      <c r="B5" s="2">
        <v>15</v>
      </c>
      <c r="C5">
        <v>1</v>
      </c>
      <c r="D5">
        <v>1</v>
      </c>
      <c r="E5" s="2">
        <v>1.4E-2</v>
      </c>
      <c r="F5" s="2">
        <f t="shared" si="0"/>
        <v>3.9999999999999983E-3</v>
      </c>
      <c r="G5" s="2">
        <f t="shared" si="0"/>
        <v>1.4E-2</v>
      </c>
      <c r="H5" s="2">
        <f t="shared" si="1"/>
        <v>8.3518240000000006</v>
      </c>
      <c r="I5">
        <v>0</v>
      </c>
      <c r="J5">
        <v>0</v>
      </c>
    </row>
    <row r="6" spans="1:10" x14ac:dyDescent="0.25">
      <c r="A6" s="6" t="s">
        <v>77</v>
      </c>
      <c r="B6" s="2">
        <v>15</v>
      </c>
      <c r="C6">
        <v>0</v>
      </c>
      <c r="D6">
        <v>0</v>
      </c>
      <c r="E6" s="2">
        <v>1.4E-2</v>
      </c>
      <c r="F6" s="2">
        <f t="shared" si="0"/>
        <v>3.9999999999999983E-3</v>
      </c>
      <c r="G6" s="2">
        <f t="shared" si="0"/>
        <v>1.4E-2</v>
      </c>
      <c r="H6" s="2">
        <f t="shared" si="1"/>
        <v>8.2028239999999997</v>
      </c>
      <c r="I6">
        <v>1</v>
      </c>
      <c r="J6">
        <v>1</v>
      </c>
    </row>
    <row r="7" spans="1:10" x14ac:dyDescent="0.25">
      <c r="A7" s="2" t="s">
        <v>12</v>
      </c>
      <c r="B7" s="2">
        <v>15</v>
      </c>
      <c r="C7">
        <v>2</v>
      </c>
      <c r="D7">
        <v>2</v>
      </c>
      <c r="E7" s="2">
        <v>1.7999999999999999E-2</v>
      </c>
      <c r="F7" s="2">
        <f t="shared" si="0"/>
        <v>0</v>
      </c>
      <c r="G7" s="2">
        <f t="shared" si="0"/>
        <v>1.7999999999999999E-2</v>
      </c>
      <c r="H7" s="2">
        <f t="shared" si="1"/>
        <v>8.5030000000000001</v>
      </c>
      <c r="I7">
        <v>0</v>
      </c>
      <c r="J7">
        <v>0</v>
      </c>
    </row>
    <row r="8" spans="1:10" x14ac:dyDescent="0.25">
      <c r="A8" s="2" t="s">
        <v>71</v>
      </c>
      <c r="B8" s="2">
        <v>15</v>
      </c>
      <c r="C8">
        <v>7</v>
      </c>
      <c r="D8">
        <v>7</v>
      </c>
      <c r="E8" s="2">
        <v>1.7999999999999999E-2</v>
      </c>
      <c r="F8" s="2">
        <f t="shared" si="0"/>
        <v>0</v>
      </c>
      <c r="G8" s="2">
        <f t="shared" si="0"/>
        <v>1.7999999999999999E-2</v>
      </c>
      <c r="H8" s="2">
        <f t="shared" si="1"/>
        <v>9.2479999999999993</v>
      </c>
      <c r="I8">
        <v>0</v>
      </c>
      <c r="J8">
        <v>0</v>
      </c>
    </row>
    <row r="9" spans="1:10" x14ac:dyDescent="0.25">
      <c r="A9" s="6" t="s">
        <v>68</v>
      </c>
      <c r="B9" s="2">
        <v>15</v>
      </c>
      <c r="C9">
        <v>2</v>
      </c>
      <c r="D9">
        <v>2</v>
      </c>
      <c r="E9" s="2">
        <v>1.7999999999999999E-2</v>
      </c>
      <c r="F9" s="2">
        <f t="shared" si="0"/>
        <v>0</v>
      </c>
      <c r="G9" s="2">
        <f t="shared" si="0"/>
        <v>1.7999999999999999E-2</v>
      </c>
      <c r="H9" s="2">
        <f t="shared" si="1"/>
        <v>8.5030000000000001</v>
      </c>
      <c r="I9">
        <v>1</v>
      </c>
      <c r="J9">
        <v>1</v>
      </c>
    </row>
    <row r="10" spans="1:10" x14ac:dyDescent="0.25">
      <c r="A10" s="2" t="s">
        <v>17</v>
      </c>
      <c r="B10" s="2">
        <v>15</v>
      </c>
      <c r="C10">
        <v>1</v>
      </c>
      <c r="D10">
        <v>1</v>
      </c>
      <c r="E10" s="2">
        <v>1.7999999999999999E-2</v>
      </c>
      <c r="F10" s="2">
        <f t="shared" si="0"/>
        <v>0</v>
      </c>
      <c r="G10" s="2">
        <f t="shared" si="0"/>
        <v>1.7999999999999999E-2</v>
      </c>
      <c r="H10" s="2">
        <f t="shared" si="1"/>
        <v>8.3539999999999992</v>
      </c>
      <c r="I10">
        <v>0</v>
      </c>
      <c r="J10">
        <v>0</v>
      </c>
    </row>
    <row r="11" spans="1:10" x14ac:dyDescent="0.25">
      <c r="A11" s="2" t="s">
        <v>19</v>
      </c>
      <c r="B11" s="2">
        <v>15</v>
      </c>
      <c r="C11">
        <v>2</v>
      </c>
      <c r="D11">
        <v>2</v>
      </c>
      <c r="E11" s="2">
        <v>1.4E-2</v>
      </c>
      <c r="F11" s="2">
        <f t="shared" si="0"/>
        <v>3.9999999999999983E-3</v>
      </c>
      <c r="G11" s="2">
        <f t="shared" si="0"/>
        <v>1.4E-2</v>
      </c>
      <c r="H11" s="2">
        <f t="shared" si="1"/>
        <v>8.5008239999999997</v>
      </c>
      <c r="I11">
        <v>0</v>
      </c>
      <c r="J11">
        <v>0</v>
      </c>
    </row>
    <row r="12" spans="1:10" x14ac:dyDescent="0.25">
      <c r="A12" s="2" t="s">
        <v>22</v>
      </c>
      <c r="B12" s="2">
        <v>15</v>
      </c>
      <c r="C12">
        <v>16</v>
      </c>
      <c r="D12">
        <v>16</v>
      </c>
      <c r="E12" s="2">
        <v>1.7999999999999999E-2</v>
      </c>
      <c r="F12" s="2">
        <f t="shared" si="0"/>
        <v>0</v>
      </c>
      <c r="G12" s="2">
        <f t="shared" si="0"/>
        <v>1.7999999999999999E-2</v>
      </c>
      <c r="H12" s="2">
        <f t="shared" si="1"/>
        <v>10.589</v>
      </c>
      <c r="I12">
        <v>1</v>
      </c>
      <c r="J12">
        <v>1</v>
      </c>
    </row>
    <row r="13" spans="1:10" x14ac:dyDescent="0.25">
      <c r="A13" s="2" t="s">
        <v>9</v>
      </c>
      <c r="B13" s="2">
        <v>15</v>
      </c>
      <c r="C13">
        <v>2</v>
      </c>
      <c r="D13">
        <v>2</v>
      </c>
      <c r="E13" s="2">
        <v>1.4E-2</v>
      </c>
      <c r="F13" s="2">
        <f t="shared" si="0"/>
        <v>3.9999999999999983E-3</v>
      </c>
      <c r="G13" s="2">
        <f t="shared" si="0"/>
        <v>1.4E-2</v>
      </c>
      <c r="H13" s="2">
        <f t="shared" si="1"/>
        <v>8.5008239999999997</v>
      </c>
      <c r="I13">
        <v>0</v>
      </c>
      <c r="J13">
        <v>0</v>
      </c>
    </row>
    <row r="14" spans="1:10" s="4" customFormat="1" x14ac:dyDescent="0.25">
      <c r="A14" s="2" t="s">
        <v>14</v>
      </c>
      <c r="B14" s="2">
        <v>15</v>
      </c>
      <c r="C14">
        <v>1</v>
      </c>
      <c r="D14">
        <v>1</v>
      </c>
      <c r="E14" s="2">
        <v>1.4999999999999999E-2</v>
      </c>
      <c r="F14" s="2">
        <f t="shared" si="0"/>
        <v>2.9999999999999992E-3</v>
      </c>
      <c r="G14" s="2">
        <f t="shared" si="0"/>
        <v>1.4999999999999999E-2</v>
      </c>
      <c r="H14" s="2">
        <f t="shared" si="1"/>
        <v>8.3523680000000002</v>
      </c>
      <c r="I14">
        <v>0</v>
      </c>
      <c r="J14">
        <v>0</v>
      </c>
    </row>
    <row r="15" spans="1:10" x14ac:dyDescent="0.25">
      <c r="A15" s="2" t="s">
        <v>78</v>
      </c>
      <c r="B15" s="2">
        <v>15</v>
      </c>
      <c r="C15">
        <v>3</v>
      </c>
      <c r="D15">
        <v>3</v>
      </c>
      <c r="E15" s="2">
        <v>1.7999999999999999E-2</v>
      </c>
      <c r="F15" s="2">
        <f t="shared" si="0"/>
        <v>0</v>
      </c>
      <c r="G15" s="2">
        <f t="shared" si="0"/>
        <v>1.7999999999999999E-2</v>
      </c>
      <c r="H15" s="2">
        <f t="shared" si="1"/>
        <v>8.6519999999999992</v>
      </c>
      <c r="I15">
        <v>1</v>
      </c>
      <c r="J15">
        <v>1</v>
      </c>
    </row>
    <row r="16" spans="1:10" x14ac:dyDescent="0.25">
      <c r="A16" s="2" t="s">
        <v>16</v>
      </c>
      <c r="B16" s="2">
        <v>15</v>
      </c>
      <c r="C16">
        <v>3</v>
      </c>
      <c r="D16">
        <v>3</v>
      </c>
      <c r="E16" s="2">
        <v>1.7999999999999999E-2</v>
      </c>
      <c r="F16" s="2">
        <f t="shared" si="0"/>
        <v>0</v>
      </c>
      <c r="G16" s="2">
        <f t="shared" si="0"/>
        <v>1.7999999999999999E-2</v>
      </c>
      <c r="H16" s="2">
        <f t="shared" si="1"/>
        <v>8.6519999999999992</v>
      </c>
      <c r="I16">
        <v>0</v>
      </c>
      <c r="J16">
        <v>0</v>
      </c>
    </row>
    <row r="17" spans="1:10" x14ac:dyDescent="0.25">
      <c r="A17" s="2" t="s">
        <v>32</v>
      </c>
      <c r="B17" s="2">
        <v>15</v>
      </c>
      <c r="C17">
        <v>11</v>
      </c>
      <c r="D17">
        <v>11</v>
      </c>
      <c r="E17" s="2">
        <v>1.7999999999999999E-2</v>
      </c>
      <c r="F17" s="2">
        <f t="shared" si="0"/>
        <v>0</v>
      </c>
      <c r="G17" s="2">
        <f t="shared" si="0"/>
        <v>1.7999999999999999E-2</v>
      </c>
      <c r="H17" s="2">
        <f t="shared" si="1"/>
        <v>9.8439999999999994</v>
      </c>
      <c r="I17">
        <v>0</v>
      </c>
      <c r="J17">
        <v>0</v>
      </c>
    </row>
    <row r="18" spans="1:10" x14ac:dyDescent="0.25">
      <c r="A18" s="6" t="s">
        <v>79</v>
      </c>
      <c r="B18" s="2">
        <v>15</v>
      </c>
      <c r="C18">
        <v>3</v>
      </c>
      <c r="D18">
        <v>3</v>
      </c>
      <c r="E18" s="2">
        <v>1.7999999999999999E-2</v>
      </c>
      <c r="F18" s="2">
        <f t="shared" si="0"/>
        <v>0</v>
      </c>
      <c r="G18" s="2">
        <f t="shared" si="0"/>
        <v>1.7999999999999999E-2</v>
      </c>
      <c r="H18" s="2">
        <f t="shared" si="1"/>
        <v>8.6519999999999992</v>
      </c>
      <c r="I18">
        <v>1</v>
      </c>
      <c r="J18">
        <v>1</v>
      </c>
    </row>
    <row r="19" spans="1:10" s="4" customFormat="1" x14ac:dyDescent="0.25">
      <c r="A19" s="2" t="s">
        <v>24</v>
      </c>
      <c r="B19" s="2">
        <v>15</v>
      </c>
      <c r="C19">
        <v>2</v>
      </c>
      <c r="D19">
        <v>2</v>
      </c>
      <c r="E19" s="2">
        <v>1.4E-2</v>
      </c>
      <c r="F19" s="2">
        <f t="shared" si="0"/>
        <v>3.9999999999999983E-3</v>
      </c>
      <c r="G19" s="2">
        <f t="shared" si="0"/>
        <v>1.4E-2</v>
      </c>
      <c r="H19" s="2">
        <f t="shared" si="1"/>
        <v>8.5008239999999997</v>
      </c>
      <c r="I19">
        <v>0</v>
      </c>
      <c r="J19">
        <v>0</v>
      </c>
    </row>
    <row r="20" spans="1:10" x14ac:dyDescent="0.25">
      <c r="A20" s="2" t="s">
        <v>36</v>
      </c>
      <c r="B20" s="2">
        <v>15</v>
      </c>
      <c r="C20">
        <v>1</v>
      </c>
      <c r="D20">
        <v>1</v>
      </c>
      <c r="E20" s="2">
        <v>1.4E-2</v>
      </c>
      <c r="F20" s="2">
        <f t="shared" si="0"/>
        <v>3.9999999999999983E-3</v>
      </c>
      <c r="G20" s="2">
        <f t="shared" si="0"/>
        <v>1.4E-2</v>
      </c>
      <c r="H20" s="2">
        <f t="shared" si="1"/>
        <v>8.3518240000000006</v>
      </c>
      <c r="I20">
        <v>1</v>
      </c>
      <c r="J20">
        <v>1</v>
      </c>
    </row>
    <row r="21" spans="1:10" x14ac:dyDescent="0.25">
      <c r="A21" s="2" t="s">
        <v>74</v>
      </c>
      <c r="B21" s="2">
        <v>15</v>
      </c>
      <c r="C21">
        <v>2</v>
      </c>
      <c r="D21">
        <v>2</v>
      </c>
      <c r="E21" s="2">
        <v>1.7999999999999999E-2</v>
      </c>
      <c r="F21" s="2">
        <f t="shared" si="0"/>
        <v>0</v>
      </c>
      <c r="G21" s="2">
        <f t="shared" si="0"/>
        <v>1.7999999999999999E-2</v>
      </c>
      <c r="H21" s="2">
        <f t="shared" si="1"/>
        <v>8.5030000000000001</v>
      </c>
      <c r="I21">
        <v>0</v>
      </c>
      <c r="J21">
        <v>0</v>
      </c>
    </row>
    <row r="22" spans="1:10" x14ac:dyDescent="0.25">
      <c r="A22" s="2" t="s">
        <v>26</v>
      </c>
      <c r="B22" s="2">
        <v>15</v>
      </c>
      <c r="C22">
        <v>2</v>
      </c>
      <c r="D22">
        <v>2</v>
      </c>
      <c r="E22" s="2">
        <v>1.7999999999999999E-2</v>
      </c>
      <c r="F22" s="2">
        <f t="shared" si="0"/>
        <v>0</v>
      </c>
      <c r="G22" s="2">
        <f t="shared" si="0"/>
        <v>1.7999999999999999E-2</v>
      </c>
      <c r="H22" s="2">
        <f t="shared" si="1"/>
        <v>8.5030000000000001</v>
      </c>
      <c r="I22">
        <v>0</v>
      </c>
      <c r="J22">
        <v>0</v>
      </c>
    </row>
    <row r="23" spans="1:10" x14ac:dyDescent="0.25">
      <c r="A23" s="2" t="s">
        <v>31</v>
      </c>
      <c r="B23" s="2">
        <v>15</v>
      </c>
      <c r="C23">
        <v>3</v>
      </c>
      <c r="D23">
        <v>3</v>
      </c>
      <c r="E23" s="2">
        <v>1.7999999999999999E-2</v>
      </c>
      <c r="F23" s="2">
        <f t="shared" si="0"/>
        <v>0</v>
      </c>
      <c r="G23" s="2">
        <f t="shared" si="0"/>
        <v>1.7999999999999999E-2</v>
      </c>
      <c r="H23" s="2">
        <f t="shared" si="1"/>
        <v>8.6519999999999992</v>
      </c>
      <c r="I23">
        <v>0</v>
      </c>
      <c r="J23">
        <v>0</v>
      </c>
    </row>
    <row r="24" spans="1:10" x14ac:dyDescent="0.25">
      <c r="A24" s="2" t="s">
        <v>42</v>
      </c>
      <c r="B24" s="2">
        <v>15</v>
      </c>
      <c r="C24">
        <v>3</v>
      </c>
      <c r="D24">
        <v>3</v>
      </c>
      <c r="E24" s="2">
        <v>1.7999999999999999E-2</v>
      </c>
      <c r="F24" s="2">
        <f t="shared" si="0"/>
        <v>0</v>
      </c>
      <c r="G24" s="2">
        <f t="shared" si="0"/>
        <v>1.7999999999999999E-2</v>
      </c>
      <c r="H24" s="2">
        <f t="shared" si="1"/>
        <v>8.6519999999999992</v>
      </c>
      <c r="I24">
        <v>0</v>
      </c>
      <c r="J24">
        <v>0</v>
      </c>
    </row>
    <row r="25" spans="1:10" x14ac:dyDescent="0.25">
      <c r="A25" s="2" t="s">
        <v>46</v>
      </c>
      <c r="B25" s="2">
        <v>15</v>
      </c>
      <c r="C25">
        <v>2</v>
      </c>
      <c r="D25">
        <v>2</v>
      </c>
      <c r="E25" s="2">
        <v>1.7999999999999999E-2</v>
      </c>
      <c r="F25" s="2">
        <f t="shared" si="0"/>
        <v>0</v>
      </c>
      <c r="G25" s="2">
        <f t="shared" si="0"/>
        <v>1.7999999999999999E-2</v>
      </c>
      <c r="H25" s="2">
        <f t="shared" si="1"/>
        <v>8.5030000000000001</v>
      </c>
      <c r="I25">
        <v>0</v>
      </c>
      <c r="J25">
        <v>0</v>
      </c>
    </row>
    <row r="26" spans="1:10" s="4" customFormat="1" x14ac:dyDescent="0.25">
      <c r="A26" s="5" t="s">
        <v>49</v>
      </c>
      <c r="B26" s="2">
        <v>15</v>
      </c>
      <c r="C26">
        <v>4</v>
      </c>
      <c r="D26">
        <v>4</v>
      </c>
      <c r="E26" s="2">
        <v>1.7999999999999999E-2</v>
      </c>
      <c r="F26" s="2">
        <f t="shared" si="0"/>
        <v>0</v>
      </c>
      <c r="G26" s="2">
        <f t="shared" si="0"/>
        <v>1.7999999999999999E-2</v>
      </c>
      <c r="H26" s="2">
        <f t="shared" si="1"/>
        <v>8.8010000000000002</v>
      </c>
      <c r="I26">
        <v>1</v>
      </c>
      <c r="J26">
        <v>1</v>
      </c>
    </row>
    <row r="27" spans="1:10" x14ac:dyDescent="0.25">
      <c r="A27" s="2" t="s">
        <v>51</v>
      </c>
      <c r="B27" s="2">
        <v>15</v>
      </c>
      <c r="C27">
        <v>2</v>
      </c>
      <c r="D27">
        <v>2</v>
      </c>
      <c r="E27" s="2">
        <v>1.7999999999999999E-2</v>
      </c>
      <c r="F27" s="2">
        <f t="shared" si="0"/>
        <v>0</v>
      </c>
      <c r="G27" s="2">
        <f t="shared" si="0"/>
        <v>1.7999999999999999E-2</v>
      </c>
      <c r="H27" s="2">
        <f t="shared" si="1"/>
        <v>8.5030000000000001</v>
      </c>
      <c r="I27">
        <v>1</v>
      </c>
      <c r="J27">
        <v>1</v>
      </c>
    </row>
    <row r="28" spans="1:10" x14ac:dyDescent="0.25">
      <c r="A28" s="2" t="s">
        <v>52</v>
      </c>
      <c r="B28" s="2">
        <v>15</v>
      </c>
      <c r="C28">
        <v>3</v>
      </c>
      <c r="D28">
        <v>3</v>
      </c>
      <c r="E28" s="2">
        <v>1.7999999999999999E-2</v>
      </c>
      <c r="F28" s="2">
        <f t="shared" si="0"/>
        <v>0</v>
      </c>
      <c r="G28" s="2">
        <f t="shared" si="0"/>
        <v>1.7999999999999999E-2</v>
      </c>
      <c r="H28" s="2">
        <f t="shared" si="1"/>
        <v>8.6519999999999992</v>
      </c>
      <c r="I28">
        <v>0</v>
      </c>
      <c r="J28">
        <v>0</v>
      </c>
    </row>
    <row r="29" spans="1:10" x14ac:dyDescent="0.25">
      <c r="A29" s="2" t="s">
        <v>66</v>
      </c>
      <c r="B29" s="2">
        <v>15</v>
      </c>
      <c r="C29">
        <v>2</v>
      </c>
      <c r="D29">
        <v>2</v>
      </c>
      <c r="E29" s="2">
        <v>1.7999999999999999E-2</v>
      </c>
      <c r="F29" s="2">
        <f t="shared" si="0"/>
        <v>0</v>
      </c>
      <c r="G29" s="2">
        <f t="shared" si="0"/>
        <v>1.7999999999999999E-2</v>
      </c>
      <c r="H29" s="2">
        <f t="shared" si="1"/>
        <v>8.5030000000000001</v>
      </c>
      <c r="I29">
        <v>0</v>
      </c>
      <c r="J29">
        <v>0</v>
      </c>
    </row>
    <row r="30" spans="1:10" x14ac:dyDescent="0.25">
      <c r="A30" s="2" t="s">
        <v>56</v>
      </c>
      <c r="B30" s="2">
        <v>15</v>
      </c>
      <c r="C30">
        <v>6</v>
      </c>
      <c r="D30">
        <v>6</v>
      </c>
      <c r="E30" s="2">
        <v>1.7999999999999999E-2</v>
      </c>
      <c r="F30" s="2">
        <f t="shared" si="0"/>
        <v>0</v>
      </c>
      <c r="G30" s="2">
        <f t="shared" si="0"/>
        <v>1.7999999999999999E-2</v>
      </c>
      <c r="H30" s="2">
        <f t="shared" si="1"/>
        <v>9.0990000000000002</v>
      </c>
      <c r="I30">
        <v>1</v>
      </c>
      <c r="J30">
        <v>1</v>
      </c>
    </row>
    <row r="31" spans="1:10" x14ac:dyDescent="0.25">
      <c r="A31" s="2" t="s">
        <v>57</v>
      </c>
      <c r="B31" s="2">
        <v>15</v>
      </c>
      <c r="C31">
        <v>3</v>
      </c>
      <c r="D31">
        <v>3</v>
      </c>
      <c r="E31" s="2">
        <v>1.7999999999999999E-2</v>
      </c>
      <c r="F31" s="2">
        <f t="shared" si="0"/>
        <v>0</v>
      </c>
      <c r="G31" s="2">
        <f t="shared" si="0"/>
        <v>1.7999999999999999E-2</v>
      </c>
      <c r="H31" s="2">
        <f t="shared" si="1"/>
        <v>8.6519999999999992</v>
      </c>
      <c r="I31">
        <v>0</v>
      </c>
      <c r="J31">
        <v>0</v>
      </c>
    </row>
    <row r="32" spans="1:10" x14ac:dyDescent="0.25">
      <c r="A32" s="2" t="s">
        <v>58</v>
      </c>
      <c r="B32" s="2">
        <v>15</v>
      </c>
      <c r="C32">
        <v>6</v>
      </c>
      <c r="D32">
        <v>6</v>
      </c>
      <c r="E32" s="2">
        <v>1.7999999999999999E-2</v>
      </c>
      <c r="F32" s="2">
        <f t="shared" si="0"/>
        <v>0</v>
      </c>
      <c r="G32" s="2">
        <f t="shared" si="0"/>
        <v>1.7999999999999999E-2</v>
      </c>
      <c r="H32" s="2">
        <f t="shared" si="1"/>
        <v>9.0990000000000002</v>
      </c>
      <c r="I32">
        <v>0</v>
      </c>
      <c r="J32">
        <v>0</v>
      </c>
    </row>
    <row r="33" spans="1:10" x14ac:dyDescent="0.25">
      <c r="A33" s="2" t="s">
        <v>59</v>
      </c>
      <c r="B33" s="2">
        <v>15</v>
      </c>
      <c r="C33">
        <v>2</v>
      </c>
      <c r="D33">
        <v>2</v>
      </c>
      <c r="E33" s="2">
        <v>1.7999999999999999E-2</v>
      </c>
      <c r="F33" s="2">
        <f t="shared" si="0"/>
        <v>0</v>
      </c>
      <c r="G33" s="2">
        <f t="shared" si="0"/>
        <v>1.7999999999999999E-2</v>
      </c>
      <c r="H33" s="2">
        <f t="shared" si="1"/>
        <v>8.5030000000000001</v>
      </c>
      <c r="I33">
        <v>0</v>
      </c>
      <c r="J33">
        <v>0</v>
      </c>
    </row>
    <row r="34" spans="1:10" x14ac:dyDescent="0.25">
      <c r="A34" s="2" t="s">
        <v>67</v>
      </c>
      <c r="B34" s="2">
        <v>15</v>
      </c>
      <c r="C34">
        <v>1</v>
      </c>
      <c r="D34">
        <v>1</v>
      </c>
      <c r="E34" s="2">
        <v>1.7999999999999999E-2</v>
      </c>
      <c r="F34" s="2">
        <f t="shared" ref="F34:G65" si="2">0.018-E34</f>
        <v>0</v>
      </c>
      <c r="G34" s="2">
        <f t="shared" si="2"/>
        <v>1.7999999999999999E-2</v>
      </c>
      <c r="H34" s="2">
        <f t="shared" si="1"/>
        <v>8.3539999999999992</v>
      </c>
      <c r="I34">
        <v>0</v>
      </c>
      <c r="J34">
        <v>0</v>
      </c>
    </row>
    <row r="35" spans="1:10" x14ac:dyDescent="0.25">
      <c r="A35" s="5" t="s">
        <v>88</v>
      </c>
      <c r="B35" s="2">
        <v>15</v>
      </c>
      <c r="C35">
        <v>2</v>
      </c>
      <c r="D35">
        <v>2</v>
      </c>
      <c r="E35" s="2">
        <v>1.7999999999999999E-2</v>
      </c>
      <c r="F35" s="2">
        <f t="shared" si="2"/>
        <v>0</v>
      </c>
      <c r="G35" s="2">
        <f t="shared" si="2"/>
        <v>1.7999999999999999E-2</v>
      </c>
      <c r="H35" s="2">
        <f t="shared" si="1"/>
        <v>8.5030000000000001</v>
      </c>
      <c r="I35">
        <v>0</v>
      </c>
      <c r="J35">
        <v>0</v>
      </c>
    </row>
    <row r="36" spans="1:10" x14ac:dyDescent="0.25">
      <c r="A36" s="2" t="s">
        <v>7</v>
      </c>
      <c r="B36" s="2">
        <v>10</v>
      </c>
      <c r="C36">
        <v>1</v>
      </c>
      <c r="D36">
        <v>1</v>
      </c>
      <c r="E36" s="2">
        <v>1.4E-2</v>
      </c>
      <c r="F36" s="2">
        <f t="shared" si="2"/>
        <v>3.9999999999999983E-3</v>
      </c>
      <c r="G36" s="2">
        <f t="shared" si="2"/>
        <v>1.4E-2</v>
      </c>
      <c r="H36" s="2">
        <f t="shared" si="1"/>
        <v>5.6168240000000003</v>
      </c>
      <c r="I36">
        <v>0</v>
      </c>
      <c r="J36">
        <v>0</v>
      </c>
    </row>
    <row r="37" spans="1:10" x14ac:dyDescent="0.25">
      <c r="A37" s="2" t="s">
        <v>4</v>
      </c>
      <c r="B37" s="2">
        <v>10</v>
      </c>
      <c r="C37">
        <v>5</v>
      </c>
      <c r="D37">
        <v>5</v>
      </c>
      <c r="E37" s="2">
        <v>1.4E-2</v>
      </c>
      <c r="F37" s="2">
        <f t="shared" si="2"/>
        <v>3.9999999999999983E-3</v>
      </c>
      <c r="G37" s="2">
        <f t="shared" si="2"/>
        <v>1.4E-2</v>
      </c>
      <c r="H37" s="2">
        <f t="shared" si="1"/>
        <v>6.2128240000000003</v>
      </c>
      <c r="I37">
        <v>1</v>
      </c>
      <c r="J37">
        <v>1</v>
      </c>
    </row>
    <row r="38" spans="1:10" x14ac:dyDescent="0.25">
      <c r="A38" s="3" t="s">
        <v>10</v>
      </c>
      <c r="B38" s="3">
        <v>10</v>
      </c>
      <c r="C38">
        <v>1</v>
      </c>
      <c r="D38">
        <v>1</v>
      </c>
      <c r="E38" s="2">
        <v>1.4E-2</v>
      </c>
      <c r="F38" s="2">
        <f t="shared" si="2"/>
        <v>3.9999999999999983E-3</v>
      </c>
      <c r="G38" s="2">
        <f t="shared" si="2"/>
        <v>1.4E-2</v>
      </c>
      <c r="H38" s="2">
        <f t="shared" si="1"/>
        <v>5.6168240000000003</v>
      </c>
      <c r="I38">
        <v>0</v>
      </c>
      <c r="J38">
        <v>0</v>
      </c>
    </row>
    <row r="39" spans="1:10" x14ac:dyDescent="0.25">
      <c r="A39" s="2" t="s">
        <v>11</v>
      </c>
      <c r="B39" s="2">
        <v>10</v>
      </c>
      <c r="C39">
        <v>2</v>
      </c>
      <c r="D39">
        <v>2</v>
      </c>
      <c r="E39" s="2">
        <v>1.4E-2</v>
      </c>
      <c r="F39" s="2">
        <f t="shared" si="2"/>
        <v>3.9999999999999983E-3</v>
      </c>
      <c r="G39" s="2">
        <f t="shared" si="2"/>
        <v>1.4E-2</v>
      </c>
      <c r="H39" s="2">
        <f t="shared" si="1"/>
        <v>5.7658240000000003</v>
      </c>
      <c r="I39">
        <v>1</v>
      </c>
      <c r="J39">
        <v>1</v>
      </c>
    </row>
    <row r="40" spans="1:10" x14ac:dyDescent="0.25">
      <c r="A40" s="2" t="s">
        <v>8</v>
      </c>
      <c r="B40" s="2">
        <v>10</v>
      </c>
      <c r="C40">
        <v>1</v>
      </c>
      <c r="D40">
        <v>1</v>
      </c>
      <c r="E40" s="2">
        <v>1.4E-2</v>
      </c>
      <c r="F40" s="2">
        <f t="shared" si="2"/>
        <v>3.9999999999999983E-3</v>
      </c>
      <c r="G40" s="2">
        <f t="shared" si="2"/>
        <v>1.4E-2</v>
      </c>
      <c r="H40" s="2">
        <f t="shared" si="1"/>
        <v>5.6168240000000003</v>
      </c>
      <c r="I40">
        <v>0</v>
      </c>
      <c r="J40">
        <v>0</v>
      </c>
    </row>
    <row r="41" spans="1:10" x14ac:dyDescent="0.25">
      <c r="A41" s="2" t="s">
        <v>15</v>
      </c>
      <c r="B41" s="2">
        <v>10</v>
      </c>
      <c r="C41">
        <v>1</v>
      </c>
      <c r="D41">
        <v>1</v>
      </c>
      <c r="E41" s="2">
        <v>1.4E-2</v>
      </c>
      <c r="F41" s="2">
        <f t="shared" si="2"/>
        <v>3.9999999999999983E-3</v>
      </c>
      <c r="G41" s="2">
        <f t="shared" si="2"/>
        <v>1.4E-2</v>
      </c>
      <c r="H41" s="2">
        <f t="shared" si="1"/>
        <v>5.6168240000000003</v>
      </c>
      <c r="I41">
        <v>0</v>
      </c>
      <c r="J41">
        <v>0</v>
      </c>
    </row>
    <row r="42" spans="1:10" x14ac:dyDescent="0.25">
      <c r="A42" s="2" t="s">
        <v>18</v>
      </c>
      <c r="B42" s="2">
        <v>10</v>
      </c>
      <c r="C42">
        <v>3</v>
      </c>
      <c r="D42">
        <v>3</v>
      </c>
      <c r="E42" s="2">
        <v>1.4E-2</v>
      </c>
      <c r="F42" s="2">
        <f t="shared" si="2"/>
        <v>3.9999999999999983E-3</v>
      </c>
      <c r="G42" s="2">
        <f t="shared" si="2"/>
        <v>1.4E-2</v>
      </c>
      <c r="H42" s="2">
        <f t="shared" si="1"/>
        <v>5.9148240000000003</v>
      </c>
      <c r="I42">
        <v>1</v>
      </c>
      <c r="J42">
        <v>1</v>
      </c>
    </row>
    <row r="43" spans="1:10" x14ac:dyDescent="0.25">
      <c r="A43" s="3" t="s">
        <v>20</v>
      </c>
      <c r="B43" s="3">
        <v>10</v>
      </c>
      <c r="C43">
        <v>1</v>
      </c>
      <c r="D43">
        <v>1</v>
      </c>
      <c r="E43" s="2">
        <v>1.4E-2</v>
      </c>
      <c r="F43" s="2">
        <f t="shared" si="2"/>
        <v>3.9999999999999983E-3</v>
      </c>
      <c r="G43" s="2">
        <f t="shared" si="2"/>
        <v>1.4E-2</v>
      </c>
      <c r="H43" s="2">
        <f t="shared" si="1"/>
        <v>5.6168240000000003</v>
      </c>
      <c r="I43">
        <v>1</v>
      </c>
      <c r="J43">
        <v>1</v>
      </c>
    </row>
    <row r="44" spans="1:10" x14ac:dyDescent="0.25">
      <c r="A44" s="2" t="s">
        <v>33</v>
      </c>
      <c r="B44" s="2">
        <v>10</v>
      </c>
      <c r="C44">
        <v>1</v>
      </c>
      <c r="D44">
        <v>1</v>
      </c>
      <c r="E44" s="2">
        <v>1.4E-2</v>
      </c>
      <c r="F44" s="2">
        <f t="shared" si="2"/>
        <v>3.9999999999999983E-3</v>
      </c>
      <c r="G44" s="2">
        <f t="shared" si="2"/>
        <v>1.4E-2</v>
      </c>
      <c r="H44" s="2">
        <f t="shared" si="1"/>
        <v>5.6168240000000003</v>
      </c>
      <c r="I44">
        <v>1</v>
      </c>
      <c r="J44">
        <v>1</v>
      </c>
    </row>
    <row r="45" spans="1:10" s="4" customFormat="1" x14ac:dyDescent="0.25">
      <c r="A45" s="3" t="s">
        <v>80</v>
      </c>
      <c r="B45" s="3">
        <v>10</v>
      </c>
      <c r="C45">
        <v>23</v>
      </c>
      <c r="D45">
        <v>23</v>
      </c>
      <c r="E45" s="2">
        <v>1.4E-2</v>
      </c>
      <c r="F45" s="2">
        <f t="shared" si="2"/>
        <v>3.9999999999999983E-3</v>
      </c>
      <c r="G45" s="2">
        <f t="shared" si="2"/>
        <v>1.4E-2</v>
      </c>
      <c r="H45" s="2">
        <f t="shared" si="1"/>
        <v>8.8948239999999998</v>
      </c>
      <c r="I45">
        <v>1</v>
      </c>
      <c r="J45">
        <v>1</v>
      </c>
    </row>
    <row r="46" spans="1:10" x14ac:dyDescent="0.25">
      <c r="A46" s="2" t="s">
        <v>73</v>
      </c>
      <c r="B46" s="2">
        <v>10</v>
      </c>
      <c r="C46">
        <v>2</v>
      </c>
      <c r="D46">
        <v>2</v>
      </c>
      <c r="E46" s="2">
        <v>1.4E-2</v>
      </c>
      <c r="F46" s="2">
        <f t="shared" si="2"/>
        <v>3.9999999999999983E-3</v>
      </c>
      <c r="G46" s="2">
        <f t="shared" si="2"/>
        <v>1.4E-2</v>
      </c>
      <c r="H46" s="2">
        <f t="shared" si="1"/>
        <v>5.7658240000000003</v>
      </c>
      <c r="I46">
        <v>0</v>
      </c>
      <c r="J46">
        <v>0</v>
      </c>
    </row>
    <row r="47" spans="1:10" x14ac:dyDescent="0.25">
      <c r="A47" s="2" t="s">
        <v>44</v>
      </c>
      <c r="B47" s="2">
        <v>10</v>
      </c>
      <c r="C47">
        <v>3</v>
      </c>
      <c r="D47">
        <v>3</v>
      </c>
      <c r="E47" s="2">
        <v>1.4E-2</v>
      </c>
      <c r="F47" s="2">
        <f t="shared" si="2"/>
        <v>3.9999999999999983E-3</v>
      </c>
      <c r="G47" s="2">
        <f t="shared" si="2"/>
        <v>1.4E-2</v>
      </c>
      <c r="H47" s="2">
        <f t="shared" si="1"/>
        <v>5.9148240000000003</v>
      </c>
      <c r="I47">
        <v>0</v>
      </c>
      <c r="J47">
        <v>0</v>
      </c>
    </row>
    <row r="48" spans="1:10" x14ac:dyDescent="0.25">
      <c r="A48" s="2" t="s">
        <v>45</v>
      </c>
      <c r="B48" s="2">
        <v>10</v>
      </c>
      <c r="C48">
        <v>2</v>
      </c>
      <c r="D48">
        <v>2</v>
      </c>
      <c r="E48" s="2">
        <v>1.4E-2</v>
      </c>
      <c r="F48" s="2">
        <f t="shared" si="2"/>
        <v>3.9999999999999983E-3</v>
      </c>
      <c r="G48" s="2">
        <f t="shared" si="2"/>
        <v>1.4E-2</v>
      </c>
      <c r="H48" s="2">
        <f t="shared" si="1"/>
        <v>5.7658240000000003</v>
      </c>
      <c r="I48">
        <v>0</v>
      </c>
      <c r="J48">
        <v>0</v>
      </c>
    </row>
    <row r="49" spans="1:10" x14ac:dyDescent="0.25">
      <c r="A49" s="2" t="s">
        <v>47</v>
      </c>
      <c r="B49" s="2">
        <v>10</v>
      </c>
      <c r="C49">
        <v>19</v>
      </c>
      <c r="D49">
        <v>19</v>
      </c>
      <c r="E49" s="2">
        <v>1.4E-2</v>
      </c>
      <c r="F49" s="2">
        <f t="shared" si="2"/>
        <v>3.9999999999999983E-3</v>
      </c>
      <c r="G49" s="2">
        <f t="shared" si="2"/>
        <v>1.4E-2</v>
      </c>
      <c r="H49" s="2">
        <f t="shared" si="1"/>
        <v>8.2988239999999998</v>
      </c>
      <c r="I49">
        <v>1</v>
      </c>
      <c r="J49">
        <v>1</v>
      </c>
    </row>
    <row r="50" spans="1:10" x14ac:dyDescent="0.25">
      <c r="A50" s="2" t="s">
        <v>72</v>
      </c>
      <c r="B50" s="2">
        <v>10</v>
      </c>
      <c r="C50">
        <v>2</v>
      </c>
      <c r="D50">
        <v>2</v>
      </c>
      <c r="E50" s="2">
        <v>1.4E-2</v>
      </c>
      <c r="F50" s="2">
        <f t="shared" si="2"/>
        <v>3.9999999999999983E-3</v>
      </c>
      <c r="G50" s="2">
        <f t="shared" si="2"/>
        <v>1.4E-2</v>
      </c>
      <c r="H50" s="2">
        <f t="shared" si="1"/>
        <v>5.7658240000000003</v>
      </c>
      <c r="I50">
        <v>1</v>
      </c>
      <c r="J50">
        <v>1</v>
      </c>
    </row>
    <row r="51" spans="1:10" x14ac:dyDescent="0.25">
      <c r="A51" s="2" t="s">
        <v>50</v>
      </c>
      <c r="B51" s="2">
        <v>10</v>
      </c>
      <c r="C51">
        <v>6</v>
      </c>
      <c r="D51">
        <v>6</v>
      </c>
      <c r="E51" s="2">
        <v>1.4E-2</v>
      </c>
      <c r="F51" s="2">
        <f t="shared" si="2"/>
        <v>3.9999999999999983E-3</v>
      </c>
      <c r="G51" s="2">
        <f t="shared" si="2"/>
        <v>1.4E-2</v>
      </c>
      <c r="H51" s="2">
        <f t="shared" si="1"/>
        <v>6.3618240000000004</v>
      </c>
      <c r="I51">
        <v>1</v>
      </c>
      <c r="J51">
        <v>1</v>
      </c>
    </row>
    <row r="52" spans="1:10" x14ac:dyDescent="0.25">
      <c r="A52" s="2" t="s">
        <v>37</v>
      </c>
      <c r="B52" s="2">
        <v>10</v>
      </c>
      <c r="C52">
        <v>3</v>
      </c>
      <c r="D52">
        <v>3</v>
      </c>
      <c r="E52" s="2">
        <v>1.4E-2</v>
      </c>
      <c r="F52" s="2">
        <f t="shared" si="2"/>
        <v>3.9999999999999983E-3</v>
      </c>
      <c r="G52" s="2">
        <f t="shared" si="2"/>
        <v>1.4E-2</v>
      </c>
      <c r="H52" s="2">
        <f t="shared" si="1"/>
        <v>5.9148240000000003</v>
      </c>
      <c r="I52">
        <v>0</v>
      </c>
      <c r="J52">
        <v>0</v>
      </c>
    </row>
    <row r="53" spans="1:10" x14ac:dyDescent="0.25">
      <c r="A53" s="2" t="s">
        <v>54</v>
      </c>
      <c r="B53" s="2">
        <v>10</v>
      </c>
      <c r="C53">
        <v>3</v>
      </c>
      <c r="D53">
        <v>3</v>
      </c>
      <c r="E53" s="2">
        <v>1.4E-2</v>
      </c>
      <c r="F53" s="2">
        <f t="shared" si="2"/>
        <v>3.9999999999999983E-3</v>
      </c>
      <c r="G53" s="2">
        <f t="shared" si="2"/>
        <v>1.4E-2</v>
      </c>
      <c r="H53" s="2">
        <f t="shared" si="1"/>
        <v>5.9148240000000003</v>
      </c>
      <c r="I53">
        <v>1</v>
      </c>
      <c r="J53">
        <v>1</v>
      </c>
    </row>
    <row r="54" spans="1:10" x14ac:dyDescent="0.25">
      <c r="A54" s="2" t="s">
        <v>96</v>
      </c>
      <c r="B54" s="2">
        <v>10</v>
      </c>
      <c r="C54">
        <v>3</v>
      </c>
      <c r="D54">
        <v>3</v>
      </c>
      <c r="E54" s="2">
        <v>1.4E-2</v>
      </c>
      <c r="F54" s="2">
        <f t="shared" si="2"/>
        <v>3.9999999999999983E-3</v>
      </c>
      <c r="G54" s="2">
        <f t="shared" si="2"/>
        <v>1.4E-2</v>
      </c>
      <c r="H54" s="2">
        <f t="shared" si="1"/>
        <v>5.9148240000000003</v>
      </c>
      <c r="I54">
        <v>1</v>
      </c>
      <c r="J54">
        <v>1</v>
      </c>
    </row>
    <row r="55" spans="1:10" x14ac:dyDescent="0.25">
      <c r="A55" s="2" t="s">
        <v>93</v>
      </c>
      <c r="B55" s="2">
        <v>10</v>
      </c>
      <c r="C55">
        <v>1</v>
      </c>
      <c r="D55">
        <v>1</v>
      </c>
      <c r="E55" s="2">
        <v>1.4E-2</v>
      </c>
      <c r="F55" s="2">
        <f t="shared" si="2"/>
        <v>3.9999999999999983E-3</v>
      </c>
      <c r="G55" s="2">
        <f t="shared" si="2"/>
        <v>1.4E-2</v>
      </c>
      <c r="H55" s="2">
        <f t="shared" si="1"/>
        <v>5.6168240000000003</v>
      </c>
      <c r="I55">
        <v>1</v>
      </c>
      <c r="J55">
        <v>1</v>
      </c>
    </row>
    <row r="56" spans="1:10" x14ac:dyDescent="0.25">
      <c r="A56" s="2" t="s">
        <v>61</v>
      </c>
      <c r="B56" s="2">
        <v>10</v>
      </c>
      <c r="C56">
        <v>3</v>
      </c>
      <c r="D56">
        <v>3</v>
      </c>
      <c r="E56" s="2">
        <v>1.4E-2</v>
      </c>
      <c r="F56" s="2">
        <f t="shared" si="2"/>
        <v>3.9999999999999983E-3</v>
      </c>
      <c r="G56" s="2">
        <f t="shared" si="2"/>
        <v>1.4E-2</v>
      </c>
      <c r="H56" s="2">
        <f t="shared" si="1"/>
        <v>5.9148240000000003</v>
      </c>
      <c r="I56">
        <v>1</v>
      </c>
      <c r="J56">
        <v>1</v>
      </c>
    </row>
    <row r="57" spans="1:10" x14ac:dyDescent="0.25">
      <c r="A57" s="2" t="s">
        <v>94</v>
      </c>
      <c r="B57" s="2">
        <v>8</v>
      </c>
      <c r="C57">
        <v>2</v>
      </c>
      <c r="D57">
        <v>2</v>
      </c>
      <c r="E57" s="2">
        <v>1.6E-2</v>
      </c>
      <c r="F57" s="2">
        <f t="shared" si="2"/>
        <v>1.9999999999999983E-3</v>
      </c>
      <c r="G57" s="2">
        <f t="shared" si="2"/>
        <v>1.6E-2</v>
      </c>
      <c r="H57" s="2">
        <f t="shared" si="1"/>
        <v>4.6729120000000002</v>
      </c>
      <c r="I57">
        <v>0</v>
      </c>
      <c r="J57">
        <v>0</v>
      </c>
    </row>
    <row r="58" spans="1:10" x14ac:dyDescent="0.25">
      <c r="A58" s="2" t="s">
        <v>62</v>
      </c>
      <c r="B58" s="2">
        <v>8</v>
      </c>
      <c r="C58">
        <v>1</v>
      </c>
      <c r="D58">
        <v>1</v>
      </c>
      <c r="E58" s="2">
        <v>1.6E-2</v>
      </c>
      <c r="F58" s="2">
        <f t="shared" si="2"/>
        <v>1.9999999999999983E-3</v>
      </c>
      <c r="G58" s="2">
        <f t="shared" si="2"/>
        <v>1.6E-2</v>
      </c>
      <c r="H58" s="2">
        <f t="shared" si="1"/>
        <v>4.5239120000000002</v>
      </c>
      <c r="I58">
        <v>1</v>
      </c>
      <c r="J58">
        <v>1</v>
      </c>
    </row>
    <row r="59" spans="1:10" x14ac:dyDescent="0.25">
      <c r="A59" s="2" t="s">
        <v>6</v>
      </c>
      <c r="B59" s="2">
        <v>8</v>
      </c>
      <c r="C59">
        <v>1</v>
      </c>
      <c r="D59">
        <v>1</v>
      </c>
      <c r="E59" s="2">
        <v>1.6E-2</v>
      </c>
      <c r="F59" s="2">
        <f t="shared" si="2"/>
        <v>1.9999999999999983E-3</v>
      </c>
      <c r="G59" s="2">
        <f t="shared" si="2"/>
        <v>1.6E-2</v>
      </c>
      <c r="H59" s="2">
        <f t="shared" si="1"/>
        <v>4.5239120000000002</v>
      </c>
      <c r="I59">
        <v>0</v>
      </c>
      <c r="J59">
        <v>0</v>
      </c>
    </row>
    <row r="60" spans="1:10" x14ac:dyDescent="0.25">
      <c r="A60" s="3" t="s">
        <v>63</v>
      </c>
      <c r="B60" s="3">
        <v>8</v>
      </c>
      <c r="C60">
        <v>4</v>
      </c>
      <c r="D60">
        <v>4</v>
      </c>
      <c r="E60" s="2">
        <v>1.6E-2</v>
      </c>
      <c r="F60" s="2">
        <f t="shared" si="2"/>
        <v>1.9999999999999983E-3</v>
      </c>
      <c r="G60" s="2">
        <f t="shared" si="2"/>
        <v>1.6E-2</v>
      </c>
      <c r="H60" s="2">
        <f t="shared" si="1"/>
        <v>4.9709120000000002</v>
      </c>
      <c r="I60">
        <v>1</v>
      </c>
      <c r="J60">
        <v>1</v>
      </c>
    </row>
    <row r="61" spans="1:10" x14ac:dyDescent="0.25">
      <c r="A61" s="2" t="s">
        <v>21</v>
      </c>
      <c r="B61" s="2">
        <v>8</v>
      </c>
      <c r="C61">
        <v>4</v>
      </c>
      <c r="D61">
        <v>4</v>
      </c>
      <c r="E61" s="2">
        <v>1.6E-2</v>
      </c>
      <c r="F61" s="2">
        <f t="shared" si="2"/>
        <v>1.9999999999999983E-3</v>
      </c>
      <c r="G61" s="2">
        <f t="shared" si="2"/>
        <v>1.6E-2</v>
      </c>
      <c r="H61" s="2">
        <f t="shared" si="1"/>
        <v>4.9709120000000002</v>
      </c>
      <c r="I61">
        <v>1</v>
      </c>
      <c r="J61">
        <v>1</v>
      </c>
    </row>
    <row r="62" spans="1:10" x14ac:dyDescent="0.25">
      <c r="A62" s="2" t="s">
        <v>23</v>
      </c>
      <c r="B62" s="2">
        <v>8</v>
      </c>
      <c r="C62">
        <v>4</v>
      </c>
      <c r="D62">
        <v>4</v>
      </c>
      <c r="E62" s="2">
        <v>1.6E-2</v>
      </c>
      <c r="F62" s="2">
        <f t="shared" si="2"/>
        <v>1.9999999999999983E-3</v>
      </c>
      <c r="G62" s="2">
        <f t="shared" si="2"/>
        <v>1.6E-2</v>
      </c>
      <c r="H62" s="2">
        <f t="shared" si="1"/>
        <v>4.9709120000000002</v>
      </c>
      <c r="I62">
        <v>0</v>
      </c>
      <c r="J62">
        <v>0</v>
      </c>
    </row>
    <row r="63" spans="1:10" x14ac:dyDescent="0.25">
      <c r="A63" s="2" t="s">
        <v>13</v>
      </c>
      <c r="B63" s="2">
        <v>8</v>
      </c>
      <c r="C63">
        <v>2</v>
      </c>
      <c r="D63">
        <v>2</v>
      </c>
      <c r="E63" s="2">
        <v>1.6E-2</v>
      </c>
      <c r="F63" s="2">
        <f t="shared" si="2"/>
        <v>1.9999999999999983E-3</v>
      </c>
      <c r="G63" s="2">
        <f t="shared" si="2"/>
        <v>1.6E-2</v>
      </c>
      <c r="H63" s="2">
        <f t="shared" si="1"/>
        <v>4.6729120000000002</v>
      </c>
      <c r="I63">
        <v>1</v>
      </c>
      <c r="J63">
        <v>1</v>
      </c>
    </row>
    <row r="64" spans="1:10" x14ac:dyDescent="0.25">
      <c r="A64" s="2" t="s">
        <v>28</v>
      </c>
      <c r="B64" s="2">
        <v>8</v>
      </c>
      <c r="C64">
        <v>2</v>
      </c>
      <c r="D64">
        <v>2</v>
      </c>
      <c r="E64" s="2">
        <v>1.6E-2</v>
      </c>
      <c r="F64" s="2">
        <f t="shared" si="2"/>
        <v>1.9999999999999983E-3</v>
      </c>
      <c r="G64" s="2">
        <f t="shared" si="2"/>
        <v>1.6E-2</v>
      </c>
      <c r="H64" s="2">
        <f t="shared" si="1"/>
        <v>4.6729120000000002</v>
      </c>
      <c r="I64">
        <v>0</v>
      </c>
      <c r="J64">
        <v>0</v>
      </c>
    </row>
    <row r="65" spans="1:10" x14ac:dyDescent="0.25">
      <c r="A65" s="2" t="s">
        <v>83</v>
      </c>
      <c r="B65" s="2">
        <v>8</v>
      </c>
      <c r="C65">
        <v>2</v>
      </c>
      <c r="D65">
        <v>2</v>
      </c>
      <c r="E65" s="2">
        <v>1.6E-2</v>
      </c>
      <c r="F65" s="2">
        <f t="shared" si="2"/>
        <v>1.9999999999999983E-3</v>
      </c>
      <c r="G65" s="2">
        <f t="shared" si="2"/>
        <v>1.6E-2</v>
      </c>
      <c r="H65" s="2">
        <f t="shared" si="1"/>
        <v>4.6729120000000002</v>
      </c>
      <c r="I65">
        <v>0</v>
      </c>
      <c r="J65">
        <v>0</v>
      </c>
    </row>
    <row r="66" spans="1:10" x14ac:dyDescent="0.25">
      <c r="A66" s="2" t="s">
        <v>30</v>
      </c>
      <c r="B66" s="2">
        <v>8</v>
      </c>
      <c r="C66">
        <v>1</v>
      </c>
      <c r="D66">
        <v>1</v>
      </c>
      <c r="E66" s="2">
        <v>1.6E-2</v>
      </c>
      <c r="F66" s="2">
        <f t="shared" ref="F66:G97" si="3">0.018-E66</f>
        <v>1.9999999999999983E-3</v>
      </c>
      <c r="G66" s="2">
        <f t="shared" si="3"/>
        <v>1.6E-2</v>
      </c>
      <c r="H66" s="2">
        <f t="shared" si="1"/>
        <v>4.5239120000000002</v>
      </c>
      <c r="I66">
        <v>0</v>
      </c>
      <c r="J66">
        <v>0</v>
      </c>
    </row>
    <row r="67" spans="1:10" x14ac:dyDescent="0.25">
      <c r="A67" s="2" t="s">
        <v>34</v>
      </c>
      <c r="B67" s="2">
        <v>8</v>
      </c>
      <c r="C67">
        <v>6</v>
      </c>
      <c r="D67">
        <v>6</v>
      </c>
      <c r="E67" s="2">
        <v>1.6E-2</v>
      </c>
      <c r="F67" s="2">
        <f t="shared" si="3"/>
        <v>1.9999999999999983E-3</v>
      </c>
      <c r="G67" s="2">
        <f t="shared" si="3"/>
        <v>1.6E-2</v>
      </c>
      <c r="H67" s="2">
        <f t="shared" ref="H67:H98" si="4">C67*0.149+F67*-0.544+B67*0.547</f>
        <v>5.2689120000000003</v>
      </c>
      <c r="I67">
        <v>1</v>
      </c>
      <c r="J67">
        <v>1</v>
      </c>
    </row>
    <row r="68" spans="1:10" x14ac:dyDescent="0.25">
      <c r="A68" s="2" t="s">
        <v>38</v>
      </c>
      <c r="B68" s="2">
        <v>8</v>
      </c>
      <c r="C68">
        <v>1</v>
      </c>
      <c r="D68">
        <v>1</v>
      </c>
      <c r="E68" s="2">
        <v>1.6E-2</v>
      </c>
      <c r="F68" s="2">
        <f t="shared" si="3"/>
        <v>1.9999999999999983E-3</v>
      </c>
      <c r="G68" s="2">
        <f t="shared" si="3"/>
        <v>1.6E-2</v>
      </c>
      <c r="H68" s="2">
        <f t="shared" si="4"/>
        <v>4.5239120000000002</v>
      </c>
      <c r="I68">
        <v>1</v>
      </c>
      <c r="J68">
        <v>1</v>
      </c>
    </row>
    <row r="69" spans="1:10" x14ac:dyDescent="0.25">
      <c r="A69" s="2" t="s">
        <v>40</v>
      </c>
      <c r="B69" s="2">
        <v>8</v>
      </c>
      <c r="C69">
        <v>1</v>
      </c>
      <c r="D69">
        <v>1</v>
      </c>
      <c r="E69" s="2">
        <v>1.6E-2</v>
      </c>
      <c r="F69" s="2">
        <f t="shared" si="3"/>
        <v>1.9999999999999983E-3</v>
      </c>
      <c r="G69" s="2">
        <f t="shared" si="3"/>
        <v>1.6E-2</v>
      </c>
      <c r="H69" s="2">
        <f t="shared" si="4"/>
        <v>4.5239120000000002</v>
      </c>
      <c r="I69">
        <v>0</v>
      </c>
      <c r="J69">
        <v>0</v>
      </c>
    </row>
    <row r="70" spans="1:10" x14ac:dyDescent="0.25">
      <c r="A70" s="2" t="s">
        <v>97</v>
      </c>
      <c r="B70" s="8">
        <v>8</v>
      </c>
      <c r="C70">
        <v>2</v>
      </c>
      <c r="D70">
        <v>2</v>
      </c>
      <c r="E70" s="2">
        <v>1.7999999999999999E-2</v>
      </c>
      <c r="F70" s="2">
        <f t="shared" si="3"/>
        <v>0</v>
      </c>
      <c r="G70" s="2">
        <f t="shared" si="3"/>
        <v>1.7999999999999999E-2</v>
      </c>
      <c r="H70" s="2">
        <f t="shared" si="4"/>
        <v>4.6740000000000004</v>
      </c>
      <c r="I70">
        <v>0</v>
      </c>
      <c r="J70">
        <v>0</v>
      </c>
    </row>
    <row r="71" spans="1:10" x14ac:dyDescent="0.25">
      <c r="A71" s="2" t="s">
        <v>99</v>
      </c>
      <c r="B71" s="2">
        <v>8</v>
      </c>
      <c r="C71">
        <v>5</v>
      </c>
      <c r="D71">
        <v>5</v>
      </c>
      <c r="E71" s="2">
        <v>1.6E-2</v>
      </c>
      <c r="F71" s="2">
        <f t="shared" si="3"/>
        <v>1.9999999999999983E-3</v>
      </c>
      <c r="G71" s="2">
        <f t="shared" si="3"/>
        <v>1.6E-2</v>
      </c>
      <c r="H71" s="2">
        <f t="shared" si="4"/>
        <v>5.1199120000000002</v>
      </c>
      <c r="I71">
        <v>1</v>
      </c>
      <c r="J71">
        <v>1</v>
      </c>
    </row>
    <row r="72" spans="1:10" x14ac:dyDescent="0.25">
      <c r="A72" s="2" t="s">
        <v>87</v>
      </c>
      <c r="B72" s="2">
        <v>8</v>
      </c>
      <c r="C72">
        <v>1</v>
      </c>
      <c r="D72">
        <v>1</v>
      </c>
      <c r="E72" s="2">
        <v>1.6E-2</v>
      </c>
      <c r="F72" s="2">
        <f t="shared" si="3"/>
        <v>1.9999999999999983E-3</v>
      </c>
      <c r="G72" s="2">
        <f t="shared" si="3"/>
        <v>1.6E-2</v>
      </c>
      <c r="H72" s="2">
        <f t="shared" si="4"/>
        <v>4.5239120000000002</v>
      </c>
      <c r="I72">
        <v>1</v>
      </c>
      <c r="J72">
        <v>1</v>
      </c>
    </row>
    <row r="73" spans="1:10" x14ac:dyDescent="0.25">
      <c r="A73" s="2" t="s">
        <v>55</v>
      </c>
      <c r="B73" s="2">
        <v>8</v>
      </c>
      <c r="C73">
        <v>4</v>
      </c>
      <c r="D73">
        <v>4</v>
      </c>
      <c r="E73" s="2">
        <v>1.6E-2</v>
      </c>
      <c r="F73" s="2">
        <f t="shared" si="3"/>
        <v>1.9999999999999983E-3</v>
      </c>
      <c r="G73" s="2">
        <f t="shared" si="3"/>
        <v>1.6E-2</v>
      </c>
      <c r="H73" s="2">
        <f t="shared" si="4"/>
        <v>4.9709120000000002</v>
      </c>
      <c r="I73">
        <v>1</v>
      </c>
      <c r="J73">
        <v>1</v>
      </c>
    </row>
    <row r="74" spans="1:10" x14ac:dyDescent="0.25">
      <c r="A74" s="2" t="s">
        <v>60</v>
      </c>
      <c r="B74" s="2">
        <v>8</v>
      </c>
      <c r="C74">
        <v>7</v>
      </c>
      <c r="D74">
        <v>7</v>
      </c>
      <c r="E74" s="2">
        <v>1.6E-2</v>
      </c>
      <c r="F74" s="2">
        <f t="shared" si="3"/>
        <v>1.9999999999999983E-3</v>
      </c>
      <c r="G74" s="2">
        <f t="shared" si="3"/>
        <v>1.6E-2</v>
      </c>
      <c r="H74" s="2">
        <f t="shared" si="4"/>
        <v>5.4179120000000003</v>
      </c>
      <c r="I74">
        <v>1</v>
      </c>
      <c r="J74">
        <v>1</v>
      </c>
    </row>
    <row r="75" spans="1:10" x14ac:dyDescent="0.25">
      <c r="A75" s="2" t="s">
        <v>98</v>
      </c>
      <c r="B75" s="2">
        <v>8</v>
      </c>
      <c r="C75">
        <v>2</v>
      </c>
      <c r="D75">
        <v>2</v>
      </c>
      <c r="E75" s="2">
        <v>1.6E-2</v>
      </c>
      <c r="F75" s="2">
        <f t="shared" si="3"/>
        <v>1.9999999999999983E-3</v>
      </c>
      <c r="G75" s="2">
        <f t="shared" si="3"/>
        <v>1.6E-2</v>
      </c>
      <c r="H75" s="2">
        <f t="shared" si="4"/>
        <v>4.6729120000000002</v>
      </c>
      <c r="I75">
        <v>0</v>
      </c>
      <c r="J75">
        <v>0</v>
      </c>
    </row>
    <row r="76" spans="1:10" x14ac:dyDescent="0.25">
      <c r="A76" s="2" t="s">
        <v>1</v>
      </c>
      <c r="B76" s="2">
        <v>2</v>
      </c>
      <c r="C76">
        <v>0</v>
      </c>
      <c r="D76">
        <v>0</v>
      </c>
      <c r="E76" s="2">
        <v>1.4E-2</v>
      </c>
      <c r="F76" s="2">
        <f t="shared" si="3"/>
        <v>3.9999999999999983E-3</v>
      </c>
      <c r="G76" s="2">
        <f t="shared" si="3"/>
        <v>1.4E-2</v>
      </c>
      <c r="H76" s="2">
        <f t="shared" si="4"/>
        <v>1.0918240000000001</v>
      </c>
      <c r="I76">
        <v>1</v>
      </c>
      <c r="J76">
        <v>1</v>
      </c>
    </row>
    <row r="77" spans="1:10" x14ac:dyDescent="0.25">
      <c r="A77" s="2" t="s">
        <v>64</v>
      </c>
      <c r="B77" s="2">
        <v>2</v>
      </c>
      <c r="C77">
        <v>3</v>
      </c>
      <c r="D77">
        <v>3</v>
      </c>
      <c r="E77" s="2">
        <v>1.4E-2</v>
      </c>
      <c r="F77" s="2">
        <f t="shared" si="3"/>
        <v>3.9999999999999983E-3</v>
      </c>
      <c r="G77" s="2">
        <f t="shared" si="3"/>
        <v>1.4E-2</v>
      </c>
      <c r="H77" s="2">
        <f t="shared" si="4"/>
        <v>1.538824</v>
      </c>
      <c r="I77">
        <v>1</v>
      </c>
      <c r="J77">
        <v>1</v>
      </c>
    </row>
    <row r="78" spans="1:10" x14ac:dyDescent="0.25">
      <c r="A78" s="2" t="s">
        <v>69</v>
      </c>
      <c r="B78" s="2">
        <v>2</v>
      </c>
      <c r="C78">
        <v>3</v>
      </c>
      <c r="D78">
        <v>3</v>
      </c>
      <c r="E78" s="2">
        <v>1.4E-2</v>
      </c>
      <c r="F78" s="2">
        <f t="shared" si="3"/>
        <v>3.9999999999999983E-3</v>
      </c>
      <c r="G78" s="2">
        <f t="shared" si="3"/>
        <v>1.4E-2</v>
      </c>
      <c r="H78" s="2">
        <f t="shared" si="4"/>
        <v>1.538824</v>
      </c>
      <c r="I78">
        <v>0</v>
      </c>
      <c r="J78">
        <v>0</v>
      </c>
    </row>
    <row r="79" spans="1:10" x14ac:dyDescent="0.25">
      <c r="A79" s="2" t="s">
        <v>82</v>
      </c>
      <c r="B79" s="2">
        <v>2</v>
      </c>
      <c r="C79">
        <v>3</v>
      </c>
      <c r="D79">
        <v>3</v>
      </c>
      <c r="E79" s="2">
        <v>1.4E-2</v>
      </c>
      <c r="F79" s="2">
        <f t="shared" si="3"/>
        <v>3.9999999999999983E-3</v>
      </c>
      <c r="G79" s="2">
        <f t="shared" si="3"/>
        <v>1.4E-2</v>
      </c>
      <c r="H79" s="2">
        <f t="shared" si="4"/>
        <v>1.538824</v>
      </c>
      <c r="I79">
        <v>0</v>
      </c>
      <c r="J79">
        <v>0</v>
      </c>
    </row>
    <row r="80" spans="1:10" x14ac:dyDescent="0.25">
      <c r="A80" s="2" t="s">
        <v>25</v>
      </c>
      <c r="B80" s="8">
        <v>2</v>
      </c>
      <c r="C80">
        <v>2</v>
      </c>
      <c r="D80">
        <v>2</v>
      </c>
      <c r="E80" s="2">
        <v>1.4E-2</v>
      </c>
      <c r="F80" s="2">
        <f t="shared" si="3"/>
        <v>3.9999999999999983E-3</v>
      </c>
      <c r="G80" s="2">
        <f t="shared" si="3"/>
        <v>1.4E-2</v>
      </c>
      <c r="H80" s="2">
        <f t="shared" si="4"/>
        <v>1.3898239999999999</v>
      </c>
      <c r="I80">
        <v>1</v>
      </c>
      <c r="J80">
        <v>1</v>
      </c>
    </row>
    <row r="81" spans="1:10" x14ac:dyDescent="0.25">
      <c r="A81" s="5" t="s">
        <v>85</v>
      </c>
      <c r="B81" s="5">
        <v>2</v>
      </c>
      <c r="C81">
        <v>2</v>
      </c>
      <c r="D81">
        <v>2</v>
      </c>
      <c r="E81" s="2">
        <v>1.4E-2</v>
      </c>
      <c r="F81" s="2">
        <f t="shared" si="3"/>
        <v>3.9999999999999983E-3</v>
      </c>
      <c r="G81" s="2">
        <f t="shared" si="3"/>
        <v>1.4E-2</v>
      </c>
      <c r="H81" s="2">
        <f t="shared" si="4"/>
        <v>1.3898239999999999</v>
      </c>
      <c r="I81">
        <v>1</v>
      </c>
      <c r="J81">
        <v>1</v>
      </c>
    </row>
    <row r="82" spans="1:10" x14ac:dyDescent="0.25">
      <c r="A82" s="2" t="s">
        <v>65</v>
      </c>
      <c r="B82" s="2">
        <v>2</v>
      </c>
      <c r="C82">
        <v>2</v>
      </c>
      <c r="D82">
        <v>2</v>
      </c>
      <c r="E82" s="2">
        <v>1.4E-2</v>
      </c>
      <c r="F82" s="2">
        <f t="shared" si="3"/>
        <v>3.9999999999999983E-3</v>
      </c>
      <c r="G82" s="2">
        <f t="shared" si="3"/>
        <v>1.4E-2</v>
      </c>
      <c r="H82" s="2">
        <f t="shared" si="4"/>
        <v>1.3898239999999999</v>
      </c>
      <c r="I82">
        <v>0</v>
      </c>
      <c r="J82">
        <v>0</v>
      </c>
    </row>
    <row r="83" spans="1:10" x14ac:dyDescent="0.25">
      <c r="A83" s="6" t="s">
        <v>70</v>
      </c>
      <c r="B83" s="6">
        <v>2</v>
      </c>
      <c r="C83">
        <v>1</v>
      </c>
      <c r="D83">
        <v>1</v>
      </c>
      <c r="E83" s="2">
        <v>1.4E-2</v>
      </c>
      <c r="F83" s="2">
        <f t="shared" si="3"/>
        <v>3.9999999999999983E-3</v>
      </c>
      <c r="G83" s="2">
        <f t="shared" si="3"/>
        <v>1.4E-2</v>
      </c>
      <c r="H83" s="2">
        <f t="shared" si="4"/>
        <v>1.2408240000000001</v>
      </c>
      <c r="I83">
        <v>0</v>
      </c>
      <c r="J83">
        <v>0</v>
      </c>
    </row>
    <row r="84" spans="1:10" x14ac:dyDescent="0.25">
      <c r="A84" s="2" t="s">
        <v>81</v>
      </c>
      <c r="B84" s="2">
        <v>2</v>
      </c>
      <c r="C84">
        <v>0</v>
      </c>
      <c r="D84">
        <v>0</v>
      </c>
      <c r="E84" s="2">
        <v>1.4E-2</v>
      </c>
      <c r="F84" s="2">
        <f t="shared" si="3"/>
        <v>3.9999999999999983E-3</v>
      </c>
      <c r="G84" s="2">
        <f t="shared" si="3"/>
        <v>1.4E-2</v>
      </c>
      <c r="H84" s="2">
        <f t="shared" si="4"/>
        <v>1.0918240000000001</v>
      </c>
      <c r="I84">
        <v>1</v>
      </c>
      <c r="J84">
        <v>1</v>
      </c>
    </row>
    <row r="85" spans="1:10" x14ac:dyDescent="0.25">
      <c r="A85" s="2" t="s">
        <v>27</v>
      </c>
      <c r="B85" s="2">
        <v>2</v>
      </c>
      <c r="C85">
        <v>1</v>
      </c>
      <c r="D85">
        <v>1</v>
      </c>
      <c r="E85" s="2">
        <v>1.4E-2</v>
      </c>
      <c r="F85" s="2">
        <f t="shared" si="3"/>
        <v>3.9999999999999983E-3</v>
      </c>
      <c r="G85" s="2">
        <f t="shared" si="3"/>
        <v>1.4E-2</v>
      </c>
      <c r="H85" s="2">
        <f t="shared" si="4"/>
        <v>1.2408240000000001</v>
      </c>
      <c r="I85">
        <v>1</v>
      </c>
      <c r="J85">
        <v>1</v>
      </c>
    </row>
    <row r="86" spans="1:10" x14ac:dyDescent="0.25">
      <c r="A86" s="2" t="s">
        <v>29</v>
      </c>
      <c r="B86" s="2">
        <v>2</v>
      </c>
      <c r="C86">
        <v>1</v>
      </c>
      <c r="D86">
        <v>1</v>
      </c>
      <c r="E86" s="2">
        <v>1.4E-2</v>
      </c>
      <c r="F86" s="2">
        <f t="shared" si="3"/>
        <v>3.9999999999999983E-3</v>
      </c>
      <c r="G86" s="2">
        <f t="shared" si="3"/>
        <v>1.4E-2</v>
      </c>
      <c r="H86" s="2">
        <f t="shared" si="4"/>
        <v>1.2408240000000001</v>
      </c>
      <c r="I86">
        <v>0</v>
      </c>
      <c r="J86">
        <v>0</v>
      </c>
    </row>
    <row r="87" spans="1:10" x14ac:dyDescent="0.25">
      <c r="A87" s="2" t="s">
        <v>84</v>
      </c>
      <c r="B87" s="2">
        <v>2</v>
      </c>
      <c r="C87">
        <v>1</v>
      </c>
      <c r="D87">
        <v>1</v>
      </c>
      <c r="E87" s="2">
        <v>1.4E-2</v>
      </c>
      <c r="F87" s="2">
        <f t="shared" si="3"/>
        <v>3.9999999999999983E-3</v>
      </c>
      <c r="G87" s="2">
        <f t="shared" si="3"/>
        <v>1.4E-2</v>
      </c>
      <c r="H87" s="2">
        <f t="shared" si="4"/>
        <v>1.2408240000000001</v>
      </c>
      <c r="I87">
        <v>0</v>
      </c>
      <c r="J87">
        <v>0</v>
      </c>
    </row>
    <row r="88" spans="1:10" x14ac:dyDescent="0.25">
      <c r="A88" s="2" t="s">
        <v>41</v>
      </c>
      <c r="B88" s="2">
        <v>2</v>
      </c>
      <c r="C88">
        <v>1</v>
      </c>
      <c r="D88">
        <v>1</v>
      </c>
      <c r="E88" s="2">
        <v>1.4E-2</v>
      </c>
      <c r="F88" s="2">
        <f t="shared" si="3"/>
        <v>3.9999999999999983E-3</v>
      </c>
      <c r="G88" s="2">
        <f t="shared" si="3"/>
        <v>1.4E-2</v>
      </c>
      <c r="H88" s="2">
        <f t="shared" si="4"/>
        <v>1.2408240000000001</v>
      </c>
      <c r="I88">
        <v>0</v>
      </c>
      <c r="J88">
        <v>0</v>
      </c>
    </row>
    <row r="89" spans="1:10" x14ac:dyDescent="0.25">
      <c r="A89" s="5" t="s">
        <v>43</v>
      </c>
      <c r="B89" s="5">
        <v>2</v>
      </c>
      <c r="C89">
        <v>3</v>
      </c>
      <c r="D89">
        <v>3</v>
      </c>
      <c r="E89" s="2">
        <v>1.4E-2</v>
      </c>
      <c r="F89" s="2">
        <f t="shared" si="3"/>
        <v>3.9999999999999983E-3</v>
      </c>
      <c r="G89" s="2">
        <f t="shared" si="3"/>
        <v>1.4E-2</v>
      </c>
      <c r="H89" s="2">
        <f t="shared" si="4"/>
        <v>1.538824</v>
      </c>
      <c r="I89">
        <v>1</v>
      </c>
      <c r="J89">
        <v>1</v>
      </c>
    </row>
    <row r="90" spans="1:10" x14ac:dyDescent="0.25">
      <c r="A90" s="2" t="s">
        <v>48</v>
      </c>
      <c r="B90" s="2">
        <v>2</v>
      </c>
      <c r="C90">
        <v>9</v>
      </c>
      <c r="D90">
        <v>9</v>
      </c>
      <c r="E90" s="2">
        <v>1.4E-2</v>
      </c>
      <c r="F90" s="2">
        <f t="shared" si="3"/>
        <v>3.9999999999999983E-3</v>
      </c>
      <c r="G90" s="2">
        <f t="shared" si="3"/>
        <v>1.4E-2</v>
      </c>
      <c r="H90" s="2">
        <f t="shared" si="4"/>
        <v>2.4328240000000001</v>
      </c>
      <c r="I90">
        <v>1</v>
      </c>
      <c r="J90">
        <v>1</v>
      </c>
    </row>
    <row r="91" spans="1:10" x14ac:dyDescent="0.25">
      <c r="A91" s="2" t="s">
        <v>76</v>
      </c>
      <c r="B91" s="2">
        <v>2</v>
      </c>
      <c r="C91">
        <v>1</v>
      </c>
      <c r="D91">
        <v>1</v>
      </c>
      <c r="E91" s="2">
        <v>1.4E-2</v>
      </c>
      <c r="F91" s="2">
        <f t="shared" si="3"/>
        <v>3.9999999999999983E-3</v>
      </c>
      <c r="G91" s="2">
        <f t="shared" si="3"/>
        <v>1.4E-2</v>
      </c>
      <c r="H91" s="2">
        <f t="shared" si="4"/>
        <v>1.2408240000000001</v>
      </c>
      <c r="I91">
        <v>0</v>
      </c>
      <c r="J91">
        <v>0</v>
      </c>
    </row>
    <row r="92" spans="1:10" x14ac:dyDescent="0.25">
      <c r="A92" s="2" t="s">
        <v>89</v>
      </c>
      <c r="B92" s="2">
        <v>2</v>
      </c>
      <c r="C92">
        <v>4</v>
      </c>
      <c r="D92">
        <v>4</v>
      </c>
      <c r="E92" s="2">
        <v>1.4E-2</v>
      </c>
      <c r="F92" s="2">
        <f t="shared" si="3"/>
        <v>3.9999999999999983E-3</v>
      </c>
      <c r="G92" s="2">
        <f t="shared" si="3"/>
        <v>1.4E-2</v>
      </c>
      <c r="H92" s="2">
        <f t="shared" si="4"/>
        <v>1.687824</v>
      </c>
      <c r="I92">
        <v>0</v>
      </c>
      <c r="J92">
        <v>0</v>
      </c>
    </row>
    <row r="93" spans="1:10" x14ac:dyDescent="0.25">
      <c r="A93" s="2" t="s">
        <v>86</v>
      </c>
      <c r="B93" s="2">
        <v>1</v>
      </c>
      <c r="C93">
        <v>2</v>
      </c>
      <c r="D93">
        <v>2</v>
      </c>
      <c r="E93" s="2">
        <v>1.4999999999999999E-2</v>
      </c>
      <c r="F93" s="2">
        <f t="shared" si="3"/>
        <v>2.9999999999999992E-3</v>
      </c>
      <c r="G93" s="2">
        <f t="shared" si="3"/>
        <v>1.4999999999999999E-2</v>
      </c>
      <c r="H93" s="2">
        <f t="shared" si="4"/>
        <v>0.84336800000000001</v>
      </c>
      <c r="I93">
        <v>1</v>
      </c>
      <c r="J93">
        <v>1</v>
      </c>
    </row>
    <row r="94" spans="1:10" x14ac:dyDescent="0.25">
      <c r="A94" s="2" t="s">
        <v>100</v>
      </c>
      <c r="B94" s="2">
        <v>1</v>
      </c>
      <c r="C94">
        <v>1</v>
      </c>
      <c r="D94">
        <v>1</v>
      </c>
      <c r="E94" s="2">
        <v>1.4E-2</v>
      </c>
      <c r="F94" s="2">
        <f t="shared" si="3"/>
        <v>3.9999999999999983E-3</v>
      </c>
      <c r="G94" s="2">
        <f t="shared" si="3"/>
        <v>1.4E-2</v>
      </c>
      <c r="H94" s="2">
        <f t="shared" si="4"/>
        <v>0.693824</v>
      </c>
      <c r="I94">
        <v>1</v>
      </c>
      <c r="J94">
        <v>1</v>
      </c>
    </row>
    <row r="95" spans="1:10" x14ac:dyDescent="0.25">
      <c r="A95" s="2" t="s">
        <v>35</v>
      </c>
      <c r="B95" s="2">
        <v>1</v>
      </c>
      <c r="C95">
        <v>3</v>
      </c>
      <c r="D95">
        <v>3</v>
      </c>
      <c r="E95" s="2">
        <v>1.4999999999999999E-2</v>
      </c>
      <c r="F95" s="2">
        <f t="shared" si="3"/>
        <v>2.9999999999999992E-3</v>
      </c>
      <c r="G95" s="2">
        <f t="shared" si="3"/>
        <v>1.4999999999999999E-2</v>
      </c>
      <c r="H95" s="2">
        <f t="shared" si="4"/>
        <v>0.99236799999999992</v>
      </c>
      <c r="I95">
        <v>1</v>
      </c>
      <c r="J95">
        <v>1</v>
      </c>
    </row>
    <row r="96" spans="1:10" x14ac:dyDescent="0.25">
      <c r="A96" s="2" t="s">
        <v>95</v>
      </c>
      <c r="B96" s="8">
        <v>1</v>
      </c>
      <c r="C96">
        <v>3</v>
      </c>
      <c r="D96">
        <v>3</v>
      </c>
      <c r="E96" s="2">
        <v>1.4E-2</v>
      </c>
      <c r="F96" s="2">
        <f t="shared" si="3"/>
        <v>3.9999999999999983E-3</v>
      </c>
      <c r="G96" s="2">
        <f t="shared" si="3"/>
        <v>1.4E-2</v>
      </c>
      <c r="H96" s="2">
        <f t="shared" si="4"/>
        <v>0.99182400000000004</v>
      </c>
      <c r="I96">
        <v>1</v>
      </c>
      <c r="J96">
        <v>1</v>
      </c>
    </row>
    <row r="97" spans="1:10" x14ac:dyDescent="0.25">
      <c r="A97" s="6" t="s">
        <v>53</v>
      </c>
      <c r="B97" s="6">
        <v>1</v>
      </c>
      <c r="C97">
        <v>3</v>
      </c>
      <c r="D97">
        <v>3</v>
      </c>
      <c r="E97" s="2">
        <v>1.4999999999999999E-2</v>
      </c>
      <c r="F97" s="2">
        <f t="shared" si="3"/>
        <v>2.9999999999999992E-3</v>
      </c>
      <c r="G97" s="2">
        <f t="shared" si="3"/>
        <v>1.4999999999999999E-2</v>
      </c>
      <c r="H97" s="2">
        <f t="shared" si="4"/>
        <v>0.99236799999999992</v>
      </c>
      <c r="I97">
        <v>0</v>
      </c>
      <c r="J97">
        <v>0</v>
      </c>
    </row>
    <row r="98" spans="1:10" x14ac:dyDescent="0.25">
      <c r="A98" s="5" t="s">
        <v>39</v>
      </c>
      <c r="B98" s="5">
        <v>1</v>
      </c>
      <c r="C98">
        <v>6</v>
      </c>
      <c r="D98">
        <v>6</v>
      </c>
      <c r="E98" s="2">
        <v>1.4999999999999999E-2</v>
      </c>
      <c r="F98" s="2">
        <f t="shared" ref="F98:G98" si="5">0.018-E98</f>
        <v>2.9999999999999992E-3</v>
      </c>
      <c r="G98" s="2">
        <f t="shared" si="5"/>
        <v>1.4999999999999999E-2</v>
      </c>
      <c r="H98" s="2">
        <f t="shared" si="4"/>
        <v>1.439368</v>
      </c>
      <c r="I98">
        <v>1</v>
      </c>
      <c r="J98">
        <v>1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97問卷and真實_202201to202206_202405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鄭楊叡</dc:creator>
  <cp:lastModifiedBy>鑫旻 葉</cp:lastModifiedBy>
  <dcterms:created xsi:type="dcterms:W3CDTF">2024-05-14T00:45:57Z</dcterms:created>
  <dcterms:modified xsi:type="dcterms:W3CDTF">2026-04-12T04:28:00Z</dcterms:modified>
</cp:coreProperties>
</file>